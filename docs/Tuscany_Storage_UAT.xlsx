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Test Environment" sheetId="3" state="visible" r:id="rId3"/>
    <sheet xmlns:r="http://schemas.openxmlformats.org/officeDocument/2006/relationships" name="Test Cases" sheetId="4" state="visible" r:id="rId4"/>
    <sheet xmlns:r="http://schemas.openxmlformats.org/officeDocument/2006/relationships" name="Defect Log" sheetId="5" state="visible" r:id="rId5"/>
    <sheet xmlns:r="http://schemas.openxmlformats.org/officeDocument/2006/relationships" name="Summary" sheetId="6" state="visible" r:id="rId6"/>
  </sheets>
  <definedNames>
    <definedName name="_xlnm._FilterDatabase" localSheetId="3" hidden="1">'Test Cases'!$A$1:$P$147</definedName>
    <definedName name="_xlnm._FilterDatabase" localSheetId="4" hidden="1">'Defect Log'!$A$1:$P$31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F3A5F"/>
      <sz val="22"/>
    </font>
    <font>
      <name val="Calibri"/>
      <color rgb="00404040"/>
      <sz val="14"/>
    </font>
    <font>
      <name val="Calibri"/>
      <b val="1"/>
      <color rgb="00FFFFFF"/>
      <sz val="18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1F3A5F"/>
      <sz val="12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left" vertical="top" wrapText="1"/>
    </xf>
    <xf numFmtId="0" fontId="7" fillId="3" borderId="0" pivotButton="0" quotePrefix="0" xfId="0"/>
    <xf numFmtId="0" fontId="4" fillId="3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left" vertical="top" wrapText="1"/>
    </xf>
    <xf numFmtId="0" fontId="4" fillId="4" borderId="1" pivotButton="0" quotePrefix="0" xfId="0"/>
    <xf numFmtId="0" fontId="5" fillId="0" borderId="1" pivotButton="0" quotePrefix="0" xfId="0"/>
    <xf numFmtId="0" fontId="4" fillId="3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top" wrapText="1"/>
    </xf>
    <xf numFmtId="164" fontId="4" fillId="3" borderId="1" pivotButton="0" quotePrefix="0" xfId="0"/>
    <xf numFmtId="164" fontId="0" fillId="0" borderId="1" pivotButton="0" quotePrefix="0" xfId="0"/>
    <xf numFmtId="1" fontId="0" fillId="0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2">
      <c r="B2" s="1" t="inlineStr">
        <is>
          <t>TUSCANY VILLAGE SELF STORAGE</t>
        </is>
      </c>
    </row>
    <row r="3"/>
    <row r="4"/>
    <row r="5">
      <c r="B5" s="2" t="inlineStr">
        <is>
          <t>User Acceptance Testing (UAT) Plan &amp; Test Cases</t>
        </is>
      </c>
    </row>
    <row r="6"/>
    <row r="8" ht="28" customHeight="1">
      <c r="B8" s="3" t="inlineStr">
        <is>
          <t>Project Information</t>
        </is>
      </c>
    </row>
    <row r="10" ht="20" customHeight="1">
      <c r="B10" s="4" t="inlineStr">
        <is>
          <t>Project Name</t>
        </is>
      </c>
      <c r="C10" s="5" t="inlineStr">
        <is>
          <t>Tuscany Village Self Storage — Management Platform</t>
        </is>
      </c>
    </row>
    <row r="11" ht="20" customHeight="1">
      <c r="B11" s="4" t="inlineStr">
        <is>
          <t>Document Type</t>
        </is>
      </c>
      <c r="C11" s="5" t="inlineStr">
        <is>
          <t>User Acceptance Testing (UAT) Plan</t>
        </is>
      </c>
    </row>
    <row r="12" ht="20" customHeight="1">
      <c r="B12" s="4" t="inlineStr">
        <is>
          <t>Document Version</t>
        </is>
      </c>
      <c r="C12" s="5" t="inlineStr">
        <is>
          <t>1.0</t>
        </is>
      </c>
    </row>
    <row r="13" ht="20" customHeight="1">
      <c r="B13" s="4" t="inlineStr">
        <is>
          <t>Release / Build</t>
        </is>
      </c>
      <c r="C13" s="5" t="inlineStr">
        <is>
          <t>Production candidate</t>
        </is>
      </c>
    </row>
    <row r="14" ht="20" customHeight="1">
      <c r="B14" s="4" t="inlineStr">
        <is>
          <t>Prepared By</t>
        </is>
      </c>
      <c r="C14" s="5" t="inlineStr">
        <is>
          <t>Hive Media Studio</t>
        </is>
      </c>
    </row>
    <row r="15" ht="20" customHeight="1">
      <c r="B15" s="4" t="inlineStr">
        <is>
          <t>Prepared For</t>
        </is>
      </c>
      <c r="C15" s="5" t="inlineStr">
        <is>
          <t>David (Tuscany Village Self Storage)</t>
        </is>
      </c>
    </row>
    <row r="16" ht="20" customHeight="1">
      <c r="B16" s="4" t="inlineStr">
        <is>
          <t>Date Issued</t>
        </is>
      </c>
      <c r="C16" s="5" t="inlineStr">
        <is>
          <t>2026-06-02</t>
        </is>
      </c>
    </row>
    <row r="17" ht="20" customHeight="1">
      <c r="B17" s="4" t="inlineStr">
        <is>
          <t>Production URL</t>
        </is>
      </c>
      <c r="C17" s="5" t="inlineStr">
        <is>
          <t>https://tuscany-storage.onrender.com</t>
        </is>
      </c>
    </row>
    <row r="18" ht="20" customHeight="1">
      <c r="B18" s="4" t="inlineStr">
        <is>
          <t>Repository</t>
        </is>
      </c>
      <c r="C18" s="5" t="inlineStr">
        <is>
          <t>github.com/Shiru04/tuscany-storage</t>
        </is>
      </c>
    </row>
    <row r="19" ht="20" customHeight="1">
      <c r="B19" s="4" t="inlineStr">
        <is>
          <t>Test Environment</t>
        </is>
      </c>
      <c r="C19" s="5" t="inlineStr">
        <is>
          <t>Staging — production-equivalent data</t>
        </is>
      </c>
    </row>
    <row r="20" ht="20" customHeight="1">
      <c r="B20" s="4" t="inlineStr">
        <is>
          <t>Browser Support</t>
        </is>
      </c>
      <c r="C20" s="5" t="inlineStr">
        <is>
          <t>Chrome (latest), Safari (latest), Edge (latest), Firefox (latest)</t>
        </is>
      </c>
    </row>
    <row r="21" ht="20" customHeight="1">
      <c r="B21" s="4" t="inlineStr">
        <is>
          <t>Mobile Support</t>
        </is>
      </c>
      <c r="C21" s="5" t="inlineStr">
        <is>
          <t>iOS Safari, Android Chrome (responsive)</t>
        </is>
      </c>
    </row>
    <row r="24" ht="28" customHeight="1">
      <c r="B24" s="3" t="inlineStr">
        <is>
          <t>Final Acceptance Sign-Off</t>
        </is>
      </c>
    </row>
    <row r="25" ht="24" customHeight="1">
      <c r="A25" s="6" t="inlineStr"/>
      <c r="B25" s="6" t="inlineStr">
        <is>
          <t>Role</t>
        </is>
      </c>
      <c r="C25" s="6" t="inlineStr">
        <is>
          <t>Name</t>
        </is>
      </c>
      <c r="D25" s="6" t="inlineStr">
        <is>
          <t>Signature</t>
        </is>
      </c>
      <c r="E25" s="6" t="inlineStr">
        <is>
          <t>Date</t>
        </is>
      </c>
    </row>
    <row r="26" ht="40" customHeight="1">
      <c r="B26" s="4" t="inlineStr">
        <is>
          <t>Client / Product Owner</t>
        </is>
      </c>
      <c r="C26" s="7" t="n"/>
      <c r="D26" s="7" t="n"/>
      <c r="E26" s="7" t="n"/>
    </row>
    <row r="27" ht="40" customHeight="1">
      <c r="B27" s="4" t="inlineStr">
        <is>
          <t>Project Manager</t>
        </is>
      </c>
      <c r="C27" s="7" t="n"/>
      <c r="D27" s="7" t="n"/>
      <c r="E27" s="7" t="n"/>
    </row>
    <row r="28" ht="40" customHeight="1">
      <c r="B28" s="4" t="inlineStr">
        <is>
          <t>QA Lead</t>
        </is>
      </c>
      <c r="C28" s="7" t="n"/>
      <c r="D28" s="7" t="n"/>
      <c r="E28" s="7" t="n"/>
    </row>
    <row r="29" ht="40" customHeight="1">
      <c r="B29" s="4" t="inlineStr">
        <is>
          <t>Technical Lead</t>
        </is>
      </c>
      <c r="C29" s="7" t="n"/>
      <c r="D29" s="7" t="n"/>
      <c r="E29" s="7" t="n"/>
    </row>
  </sheetData>
  <mergeCells count="16">
    <mergeCell ref="B24:G24"/>
    <mergeCell ref="C21:G21"/>
    <mergeCell ref="C20:G20"/>
    <mergeCell ref="B2:G4"/>
    <mergeCell ref="C12:G12"/>
    <mergeCell ref="C10:G10"/>
    <mergeCell ref="B5:G6"/>
    <mergeCell ref="C16:G16"/>
    <mergeCell ref="C15:G15"/>
    <mergeCell ref="C11:G11"/>
    <mergeCell ref="B8:G8"/>
    <mergeCell ref="C19:G19"/>
    <mergeCell ref="C14:G14"/>
    <mergeCell ref="C13:G13"/>
    <mergeCell ref="C18:G18"/>
    <mergeCell ref="C17:G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5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25" customWidth="1" min="3" max="3"/>
    <col width="25" customWidth="1" min="4" max="4"/>
    <col width="25" customWidth="1" min="5" max="5"/>
    <col width="30" customWidth="1" min="6" max="6"/>
  </cols>
  <sheetData>
    <row r="2" ht="28" customHeight="1">
      <c r="B2" s="3" t="inlineStr">
        <is>
          <t>How to Use This Document</t>
        </is>
      </c>
    </row>
    <row r="4">
      <c r="B4" s="8" t="inlineStr">
        <is>
          <t>This workbook contains the User Acceptance Test (UAT) cases for Tuscany Village Self Storage. Its purpose is to verify, prior to production release, that every user-facing feature behaves as expected from the perspective of the end user (Admin, Tenant, Public visitor). Each test case below describes a scenario, the exact steps to reproduce, and the expected outcome. The tester executes each case and records the result.</t>
        </is>
      </c>
    </row>
    <row r="5"/>
    <row r="6"/>
    <row r="7"/>
    <row r="9">
      <c r="B9" s="9" t="inlineStr">
        <is>
          <t>Testing Workflow</t>
        </is>
      </c>
    </row>
    <row r="10">
      <c r="B10" s="8" t="inlineStr">
        <is>
          <t>1. Open the 'Test Environment' tab and confirm test credentials and URLs are accessible.</t>
        </is>
      </c>
    </row>
    <row r="11">
      <c r="B11" s="8" t="inlineStr">
        <is>
          <t>2. Open the 'Test Cases' tab. Filter by module if you want to focus on one area.</t>
        </is>
      </c>
    </row>
    <row r="12">
      <c r="B12" s="8" t="inlineStr">
        <is>
          <t>3. For each test case: read Preconditions, execute the Steps, compare against Expected Result.</t>
        </is>
      </c>
    </row>
    <row r="13">
      <c r="B13" s="8" t="inlineStr">
        <is>
          <t>4. Record what actually happened in 'Actual Result' and select a Status from the dropdown.</t>
        </is>
      </c>
    </row>
    <row r="14">
      <c r="B14" s="8" t="inlineStr">
        <is>
          <t>5. If Status = Fail or Blocked: open the 'Defect Log' tab and create an entry. Reference its Defect ID back in the test case row.</t>
        </is>
      </c>
    </row>
    <row r="15">
      <c r="B15" s="8" t="inlineStr">
        <is>
          <t>6. Fill in Tester Name and Test Date for every case you execute.</t>
        </is>
      </c>
    </row>
    <row r="16">
      <c r="B16" s="8" t="inlineStr">
        <is>
          <t>7. The 'Summary' tab automatically counts results — no manual update needed.</t>
        </is>
      </c>
    </row>
    <row r="17">
      <c r="B17" s="8" t="inlineStr">
        <is>
          <t>8. When all Critical and High cases pass, parties sign the 'Cover' tab to release the build to production.</t>
        </is>
      </c>
    </row>
    <row r="20">
      <c r="B20" s="10" t="inlineStr">
        <is>
          <t>Status Definitions</t>
        </is>
      </c>
    </row>
    <row r="21">
      <c r="B21" s="11" t="inlineStr">
        <is>
          <t>Status</t>
        </is>
      </c>
      <c r="C21" s="11" t="inlineStr">
        <is>
          <t>Meaning</t>
        </is>
      </c>
    </row>
    <row r="22">
      <c r="B22" s="12" t="inlineStr">
        <is>
          <t>Not Run</t>
        </is>
      </c>
      <c r="C22" s="7" t="inlineStr">
        <is>
          <t>Test has not been executed yet (default state).</t>
        </is>
      </c>
      <c r="D22" s="13" t="n"/>
      <c r="E22" s="13" t="n"/>
      <c r="F22" s="13" t="n"/>
    </row>
    <row r="23">
      <c r="B23" s="12" t="inlineStr">
        <is>
          <t>Pass</t>
        </is>
      </c>
      <c r="C23" s="7" t="inlineStr">
        <is>
          <t>Actual result matches expected result. No defect.</t>
        </is>
      </c>
      <c r="D23" s="13" t="n"/>
      <c r="E23" s="13" t="n"/>
      <c r="F23" s="13" t="n"/>
    </row>
    <row r="24">
      <c r="B24" s="12" t="inlineStr">
        <is>
          <t>Fail</t>
        </is>
      </c>
      <c r="C24" s="7" t="inlineStr">
        <is>
          <t>Actual result does not match expected result. A defect must be raised.</t>
        </is>
      </c>
      <c r="D24" s="13" t="n"/>
      <c r="E24" s="13" t="n"/>
      <c r="F24" s="13" t="n"/>
    </row>
    <row r="25">
      <c r="B25" s="12" t="inlineStr">
        <is>
          <t>Blocked</t>
        </is>
      </c>
      <c r="C25" s="7" t="inlineStr">
        <is>
          <t>Test cannot be executed because of an environmental issue or dependency on a failed earlier test.</t>
        </is>
      </c>
      <c r="D25" s="13" t="n"/>
      <c r="E25" s="13" t="n"/>
      <c r="F25" s="13" t="n"/>
    </row>
    <row r="26">
      <c r="B26" s="12" t="inlineStr">
        <is>
          <t>N/A</t>
        </is>
      </c>
      <c r="C26" s="7" t="inlineStr">
        <is>
          <t>Test is not applicable to this release (feature disabled, deferred, etc.). Add reason in Comments.</t>
        </is>
      </c>
      <c r="D26" s="13" t="n"/>
      <c r="E26" s="13" t="n"/>
      <c r="F26" s="13" t="n"/>
    </row>
    <row r="29">
      <c r="B29" s="10" t="inlineStr">
        <is>
          <t>Defect Severity Definitions</t>
        </is>
      </c>
    </row>
    <row r="30">
      <c r="B30" s="11" t="inlineStr">
        <is>
          <t>Severity</t>
        </is>
      </c>
      <c r="C30" s="11" t="inlineStr">
        <is>
          <t>Meaning</t>
        </is>
      </c>
    </row>
    <row r="31">
      <c r="B31" s="12" t="inlineStr">
        <is>
          <t>Critical</t>
        </is>
      </c>
      <c r="C31" s="7" t="inlineStr">
        <is>
          <t>Blocks core business operation. No workaround. Examples: cannot log in, payments fail across the board, gate access broken for all tenants.</t>
        </is>
      </c>
      <c r="D31" s="13" t="n"/>
      <c r="E31" s="13" t="n"/>
      <c r="F31" s="13" t="n"/>
    </row>
    <row r="32">
      <c r="B32" s="12" t="inlineStr">
        <is>
          <t>High</t>
        </is>
      </c>
      <c r="C32" s="7" t="inlineStr">
        <is>
          <t>Major function broken or significantly degraded. Workaround exists but is painful. Must be fixed before release.</t>
        </is>
      </c>
      <c r="D32" s="13" t="n"/>
      <c r="E32" s="13" t="n"/>
      <c r="F32" s="13" t="n"/>
    </row>
    <row r="33">
      <c r="B33" s="12" t="inlineStr">
        <is>
          <t>Medium</t>
        </is>
      </c>
      <c r="C33" s="7" t="inlineStr">
        <is>
          <t>Feature partially works or has noticeable defect that does not block primary flow. Should be fixed soon.</t>
        </is>
      </c>
      <c r="D33" s="13" t="n"/>
      <c r="E33" s="13" t="n"/>
      <c r="F33" s="13" t="n"/>
    </row>
    <row r="34">
      <c r="B34" s="12" t="inlineStr">
        <is>
          <t>Low</t>
        </is>
      </c>
      <c r="C34" s="7" t="inlineStr">
        <is>
          <t>Cosmetic issue, minor inconvenience, or edge case. Can be deferred.</t>
        </is>
      </c>
      <c r="D34" s="13" t="n"/>
      <c r="E34" s="13" t="n"/>
      <c r="F34" s="13" t="n"/>
    </row>
    <row r="37">
      <c r="B37" s="10" t="inlineStr">
        <is>
          <t>Test Case Priority</t>
        </is>
      </c>
    </row>
    <row r="38">
      <c r="B38" s="11" t="inlineStr">
        <is>
          <t>Priority</t>
        </is>
      </c>
      <c r="C38" s="11" t="inlineStr">
        <is>
          <t>Meaning</t>
        </is>
      </c>
    </row>
    <row r="39">
      <c r="B39" s="12" t="inlineStr">
        <is>
          <t>Critical</t>
        </is>
      </c>
      <c r="C39" s="7" t="inlineStr">
        <is>
          <t>Must pass for release. Covers core business functions (auth, payment, gate access, move-in).</t>
        </is>
      </c>
      <c r="D39" s="13" t="n"/>
      <c r="E39" s="13" t="n"/>
      <c r="F39" s="13" t="n"/>
    </row>
    <row r="40">
      <c r="B40" s="12" t="inlineStr">
        <is>
          <t>High</t>
        </is>
      </c>
      <c r="C40" s="7" t="inlineStr">
        <is>
          <t>Must pass for release. Covers major features users rely on daily.</t>
        </is>
      </c>
      <c r="D40" s="13" t="n"/>
      <c r="E40" s="13" t="n"/>
      <c r="F40" s="13" t="n"/>
    </row>
    <row r="41">
      <c r="B41" s="12" t="inlineStr">
        <is>
          <t>Medium</t>
        </is>
      </c>
      <c r="C41" s="7" t="inlineStr">
        <is>
          <t>Should pass. Covers secondary flows. Failures discussed before release.</t>
        </is>
      </c>
      <c r="D41" s="13" t="n"/>
      <c r="E41" s="13" t="n"/>
      <c r="F41" s="13" t="n"/>
    </row>
    <row r="42">
      <c r="B42" s="12" t="inlineStr">
        <is>
          <t>Low</t>
        </is>
      </c>
      <c r="C42" s="7" t="inlineStr">
        <is>
          <t>Nice to have. Edge cases, cosmetics, rare flows.</t>
        </is>
      </c>
      <c r="D42" s="13" t="n"/>
      <c r="E42" s="13" t="n"/>
      <c r="F42" s="13" t="n"/>
    </row>
    <row r="45">
      <c r="B45" s="10" t="inlineStr">
        <is>
          <t>Release / Sign-Off Criteria</t>
        </is>
      </c>
    </row>
    <row r="46">
      <c r="B46" s="14" t="inlineStr">
        <is>
          <t>• 100% of Critical-priority test cases have Status = Pass.</t>
        </is>
      </c>
    </row>
    <row r="47">
      <c r="B47" s="14" t="inlineStr">
        <is>
          <t>• ≥ 95% of High-priority test cases have Status = Pass.</t>
        </is>
      </c>
    </row>
    <row r="48">
      <c r="B48" s="14" t="inlineStr">
        <is>
          <t>• No open defects with Severity = Critical or High.</t>
        </is>
      </c>
    </row>
    <row r="49">
      <c r="B49" s="14" t="inlineStr">
        <is>
          <t>• All Critical / High defects raised during testing are either Fixed-Verified or Accepted-with-Workaround.</t>
        </is>
      </c>
    </row>
    <row r="50">
      <c r="B50" s="14" t="inlineStr">
        <is>
          <t>• All sign-off rows on the Cover sheet are completed.</t>
        </is>
      </c>
    </row>
  </sheetData>
  <mergeCells count="36">
    <mergeCell ref="C23:F23"/>
    <mergeCell ref="C39:F39"/>
    <mergeCell ref="B16:F16"/>
    <mergeCell ref="B47:F47"/>
    <mergeCell ref="C38:F38"/>
    <mergeCell ref="B46:F46"/>
    <mergeCell ref="C32:F32"/>
    <mergeCell ref="B12:F12"/>
    <mergeCell ref="B2:F2"/>
    <mergeCell ref="B48:F48"/>
    <mergeCell ref="B11:F11"/>
    <mergeCell ref="C34:F34"/>
    <mergeCell ref="C30:F30"/>
    <mergeCell ref="C33:F33"/>
    <mergeCell ref="B14:F14"/>
    <mergeCell ref="C24:F24"/>
    <mergeCell ref="C42:F42"/>
    <mergeCell ref="B17:F17"/>
    <mergeCell ref="B13:F13"/>
    <mergeCell ref="B4:F7"/>
    <mergeCell ref="B29:F29"/>
    <mergeCell ref="B10:F10"/>
    <mergeCell ref="C26:F26"/>
    <mergeCell ref="B37:F37"/>
    <mergeCell ref="C25:F25"/>
    <mergeCell ref="C41:F41"/>
    <mergeCell ref="B9:F9"/>
    <mergeCell ref="B49:F49"/>
    <mergeCell ref="C22:F22"/>
    <mergeCell ref="C40:F40"/>
    <mergeCell ref="C31:F31"/>
    <mergeCell ref="B20:F20"/>
    <mergeCell ref="B15:F15"/>
    <mergeCell ref="C21:F21"/>
    <mergeCell ref="B45:F45"/>
    <mergeCell ref="B50:F5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3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2" customWidth="1" min="3" max="3"/>
    <col width="18" customWidth="1" min="4" max="4"/>
    <col width="22" customWidth="1" min="5" max="5"/>
    <col width="22" customWidth="1" min="6" max="6"/>
  </cols>
  <sheetData>
    <row r="2" ht="28" customHeight="1">
      <c r="B2" s="3" t="inlineStr">
        <is>
          <t>Test Environment &amp; Credentials</t>
        </is>
      </c>
    </row>
    <row r="4">
      <c r="B4" s="10" t="inlineStr">
        <is>
          <t>URLs</t>
        </is>
      </c>
    </row>
    <row r="5">
      <c r="B5" s="15" t="inlineStr">
        <is>
          <t>Production</t>
        </is>
      </c>
      <c r="C5" s="16" t="inlineStr">
        <is>
          <t>https://tuscany-storage.onrender.com</t>
        </is>
      </c>
    </row>
    <row r="6">
      <c r="B6" s="15" t="inlineStr">
        <is>
          <t>Admin Login</t>
        </is>
      </c>
      <c r="C6" s="16" t="inlineStr">
        <is>
          <t>https://tuscany-storage.onrender.com/login</t>
        </is>
      </c>
    </row>
    <row r="7">
      <c r="B7" s="15" t="inlineStr">
        <is>
          <t>Tenant Portal</t>
        </is>
      </c>
      <c r="C7" s="16" t="inlineStr">
        <is>
          <t>https://tuscany-storage.onrender.com/portal</t>
        </is>
      </c>
    </row>
    <row r="8">
      <c r="B8" s="15" t="inlineStr">
        <is>
          <t>Public Site</t>
        </is>
      </c>
      <c r="C8" s="16" t="inlineStr">
        <is>
          <t>https://tuscany-storage.onrender.com</t>
        </is>
      </c>
    </row>
    <row r="9">
      <c r="B9" s="15" t="inlineStr">
        <is>
          <t>Reserve Unit (Move-In Funnel)</t>
        </is>
      </c>
      <c r="C9" s="16" t="inlineStr">
        <is>
          <t>https://tuscany-storage.onrender.com/reserve</t>
        </is>
      </c>
    </row>
    <row r="12">
      <c r="B12" s="10" t="inlineStr">
        <is>
          <t>Test Credentials</t>
        </is>
      </c>
    </row>
    <row r="13">
      <c r="B13" s="17" t="inlineStr">
        <is>
          <t>Role</t>
        </is>
      </c>
      <c r="C13" s="17" t="inlineStr">
        <is>
          <t>Email / Username</t>
        </is>
      </c>
      <c r="D13" s="17" t="inlineStr">
        <is>
          <t>Password</t>
        </is>
      </c>
      <c r="E13" s="17" t="inlineStr">
        <is>
          <t>Notes</t>
        </is>
      </c>
      <c r="F13" s="18" t="n"/>
    </row>
    <row r="14">
      <c r="B14" s="5" t="inlineStr">
        <is>
          <t>Admin</t>
        </is>
      </c>
      <c r="C14" s="5" t="inlineStr">
        <is>
          <t>admin@tuscanystorage.com</t>
        </is>
      </c>
      <c r="D14" s="5" t="inlineStr">
        <is>
          <t>(provided separately)</t>
        </is>
      </c>
      <c r="E14" s="5" t="inlineStr">
        <is>
          <t>Full admin access</t>
        </is>
      </c>
    </row>
    <row r="15">
      <c r="B15" s="5" t="inlineStr">
        <is>
          <t>Tenant 1</t>
        </is>
      </c>
      <c r="C15" s="5" t="inlineStr">
        <is>
          <t>john@example.com</t>
        </is>
      </c>
      <c r="D15" s="5" t="inlineStr">
        <is>
          <t>tenant123</t>
        </is>
      </c>
      <c r="E15" s="5" t="inlineStr">
        <is>
          <t>Active tenant with unit + autopay on</t>
        </is>
      </c>
    </row>
    <row r="16">
      <c r="B16" s="5" t="inlineStr">
        <is>
          <t>Tenant 2</t>
        </is>
      </c>
      <c r="C16" s="5" t="inlineStr">
        <is>
          <t>jane@example.com</t>
        </is>
      </c>
      <c r="D16" s="5" t="inlineStr">
        <is>
          <t>tenant123</t>
        </is>
      </c>
      <c r="E16" s="5" t="inlineStr">
        <is>
          <t>Active tenant with balance owed</t>
        </is>
      </c>
    </row>
    <row r="17">
      <c r="B17" s="5" t="inlineStr">
        <is>
          <t>Tenant 3</t>
        </is>
      </c>
      <c r="C17" s="5" t="inlineStr">
        <is>
          <t>bob@example.com</t>
        </is>
      </c>
      <c r="D17" s="5" t="inlineStr">
        <is>
          <t>tenant123</t>
        </is>
      </c>
      <c r="E17" s="5" t="inlineStr">
        <is>
          <t>Delinquent tenant (for lockout tests)</t>
        </is>
      </c>
    </row>
    <row r="20">
      <c r="B20" s="10" t="inlineStr">
        <is>
          <t>Stripe Test Cards (TEST mode only)</t>
        </is>
      </c>
    </row>
    <row r="21">
      <c r="B21" s="17" t="inlineStr">
        <is>
          <t>Card Number</t>
        </is>
      </c>
      <c r="C21" s="17" t="inlineStr">
        <is>
          <t>Expected Behaviour</t>
        </is>
      </c>
      <c r="D21" s="17" t="inlineStr">
        <is>
          <t>Notes (use any future expiry, any CVC, any ZIP)</t>
        </is>
      </c>
      <c r="E21" s="18" t="n"/>
      <c r="F21" s="18" t="n"/>
    </row>
    <row r="22">
      <c r="B22" s="16" t="inlineStr">
        <is>
          <t>4242 4242 4242 4242</t>
        </is>
      </c>
      <c r="C22" s="16" t="inlineStr">
        <is>
          <t>Successful charge</t>
        </is>
      </c>
      <c r="D22" s="5" t="inlineStr">
        <is>
          <t>Default success card.</t>
        </is>
      </c>
    </row>
    <row r="23">
      <c r="B23" s="16" t="inlineStr">
        <is>
          <t>4000 0025 0000 3155</t>
        </is>
      </c>
      <c r="C23" s="16" t="inlineStr">
        <is>
          <t>Requires 3D Secure</t>
        </is>
      </c>
      <c r="D23" s="5" t="inlineStr">
        <is>
          <t>Tests Strong Customer Authentication challenge.</t>
        </is>
      </c>
    </row>
    <row r="24">
      <c r="B24" s="16" t="inlineStr">
        <is>
          <t>4000 0000 0000 9995</t>
        </is>
      </c>
      <c r="C24" s="16" t="inlineStr">
        <is>
          <t>Decline — insufficient funds</t>
        </is>
      </c>
      <c r="D24" s="5" t="inlineStr">
        <is>
          <t>Used for decline-handling tests.</t>
        </is>
      </c>
    </row>
    <row r="25">
      <c r="B25" s="16" t="inlineStr">
        <is>
          <t>4000 0000 0000 0002</t>
        </is>
      </c>
      <c r="C25" s="16" t="inlineStr">
        <is>
          <t>Decline — generic</t>
        </is>
      </c>
      <c r="D25" s="5" t="inlineStr">
        <is>
          <t>Generic decline.</t>
        </is>
      </c>
    </row>
    <row r="26">
      <c r="B26" s="16" t="inlineStr">
        <is>
          <t>4000 0000 0000 0341</t>
        </is>
      </c>
      <c r="C26" s="16" t="inlineStr">
        <is>
          <t>Attach succeeds, future charge fails</t>
        </is>
      </c>
      <c r="D26" s="5" t="inlineStr">
        <is>
          <t>Use for autopay failure tests.</t>
        </is>
      </c>
    </row>
    <row r="29">
      <c r="B29" s="10" t="inlineStr">
        <is>
          <t>Tester Prerequisites</t>
        </is>
      </c>
    </row>
    <row r="30">
      <c r="B30" s="8" t="inlineStr">
        <is>
          <t>• Working email inbox for receiving test confirmations and receipts (e.g., +uat alias on a real address).</t>
        </is>
      </c>
    </row>
    <row r="31">
      <c r="B31" s="8" t="inlineStr">
        <is>
          <t>• Mobile phone capable of receiving SMS (for text-to-open and SMS notification tests).</t>
        </is>
      </c>
    </row>
    <row r="32">
      <c r="B32" s="8" t="inlineStr">
        <is>
          <t>• Modern browser (Chrome / Edge / Safari latest).</t>
        </is>
      </c>
    </row>
    <row r="33">
      <c r="B33" s="8" t="inlineStr">
        <is>
          <t>• Access to the staging environment URL above.</t>
        </is>
      </c>
    </row>
    <row r="34">
      <c r="B34" s="8" t="inlineStr">
        <is>
          <t>• Stripe test cards listed in this sheet — do NOT use real credit cards.</t>
        </is>
      </c>
    </row>
    <row r="35">
      <c r="B35" s="8" t="inlineStr">
        <is>
          <t>• (For PDK / gate tests) coordination with the on-site PDK device, or use of the sandbox simulator.</t>
        </is>
      </c>
    </row>
  </sheetData>
  <mergeCells count="27">
    <mergeCell ref="B4:F4"/>
    <mergeCell ref="C8:F8"/>
    <mergeCell ref="C7:F7"/>
    <mergeCell ref="B31:F31"/>
    <mergeCell ref="E14:F14"/>
    <mergeCell ref="E17:F17"/>
    <mergeCell ref="B12:F12"/>
    <mergeCell ref="B2:F2"/>
    <mergeCell ref="C6:F6"/>
    <mergeCell ref="E13:F13"/>
    <mergeCell ref="D25:F25"/>
    <mergeCell ref="C5:F5"/>
    <mergeCell ref="D24:F24"/>
    <mergeCell ref="B29:F29"/>
    <mergeCell ref="E15:F15"/>
    <mergeCell ref="D23:F23"/>
    <mergeCell ref="B32:F32"/>
    <mergeCell ref="B34:F34"/>
    <mergeCell ref="D26:F26"/>
    <mergeCell ref="B30:F30"/>
    <mergeCell ref="C9:F9"/>
    <mergeCell ref="E16:F16"/>
    <mergeCell ref="B20:F20"/>
    <mergeCell ref="B33:F33"/>
    <mergeCell ref="D22:F22"/>
    <mergeCell ref="D21:F21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0" customWidth="1" min="4" max="4"/>
    <col width="40" customWidth="1" min="5" max="5"/>
    <col width="35" customWidth="1" min="6" max="6"/>
    <col width="50" customWidth="1" min="7" max="7"/>
    <col width="25" customWidth="1" min="8" max="8"/>
    <col width="50" customWidth="1" min="9" max="9"/>
    <col width="35" customWidth="1" min="10" max="10"/>
    <col width="12" customWidth="1" min="11" max="11"/>
    <col width="12" customWidth="1" min="12" max="12"/>
    <col width="14" customWidth="1" min="13" max="13"/>
    <col width="12" customWidth="1" min="14" max="14"/>
    <col width="25" customWidth="1" min="15" max="15"/>
    <col width="12" customWidth="1" min="16" max="16"/>
  </cols>
  <sheetData>
    <row r="1" ht="36" customHeight="1">
      <c r="A1" s="6" t="inlineStr">
        <is>
          <t>Test ID</t>
        </is>
      </c>
      <c r="B1" s="6" t="inlineStr">
        <is>
          <t>Module</t>
        </is>
      </c>
      <c r="C1" s="6" t="inlineStr">
        <is>
          <t>Sub-Module</t>
        </is>
      </c>
      <c r="D1" s="6" t="inlineStr">
        <is>
          <t>Priority</t>
        </is>
      </c>
      <c r="E1" s="6" t="inlineStr">
        <is>
          <t>Test Title</t>
        </is>
      </c>
      <c r="F1" s="6" t="inlineStr">
        <is>
          <t>Preconditions</t>
        </is>
      </c>
      <c r="G1" s="6" t="inlineStr">
        <is>
          <t>Test Steps</t>
        </is>
      </c>
      <c r="H1" s="6" t="inlineStr">
        <is>
          <t>Test Data</t>
        </is>
      </c>
      <c r="I1" s="6" t="inlineStr">
        <is>
          <t>Expected Result</t>
        </is>
      </c>
      <c r="J1" s="6" t="inlineStr">
        <is>
          <t>Actual Result</t>
        </is>
      </c>
      <c r="K1" s="6" t="inlineStr">
        <is>
          <t>Status</t>
        </is>
      </c>
      <c r="L1" s="6" t="inlineStr">
        <is>
          <t>Severity</t>
        </is>
      </c>
      <c r="M1" s="6" t="inlineStr">
        <is>
          <t>Tester</t>
        </is>
      </c>
      <c r="N1" s="6" t="inlineStr">
        <is>
          <t>Test Date</t>
        </is>
      </c>
      <c r="O1" s="6" t="inlineStr">
        <is>
          <t>Comments</t>
        </is>
      </c>
      <c r="P1" s="6" t="inlineStr">
        <is>
          <t>Defect ID</t>
        </is>
      </c>
    </row>
    <row r="2" ht="48" customHeight="1">
      <c r="A2" s="5" t="inlineStr">
        <is>
          <t>AUTH-001</t>
        </is>
      </c>
      <c r="B2" s="5" t="inlineStr">
        <is>
          <t>Authentication</t>
        </is>
      </c>
      <c r="C2" s="5" t="inlineStr">
        <is>
          <t>Login</t>
        </is>
      </c>
      <c r="D2" s="5" t="inlineStr">
        <is>
          <t>Critical</t>
        </is>
      </c>
      <c r="E2" s="5" t="inlineStr">
        <is>
          <t>Admin can log in with valid credentials</t>
        </is>
      </c>
      <c r="F2" s="5" t="inlineStr">
        <is>
          <t>Admin account exists.</t>
        </is>
      </c>
      <c r="G2" s="5" t="inlineStr">
        <is>
          <t>1. Navigate to /login.
2. Enter admin email and password.
3. Click Sign In.</t>
        </is>
      </c>
      <c r="H2" s="5" t="inlineStr">
        <is>
          <t>admin@tuscanystorage.com / valid password</t>
        </is>
      </c>
      <c r="I2" s="5" t="inlineStr">
        <is>
          <t>User is redirected to /admin dashboard. Sidebar nav is visible. Session is established.</t>
        </is>
      </c>
      <c r="J2" s="5" t="inlineStr"/>
      <c r="K2" s="5" t="inlineStr">
        <is>
          <t>Not Run</t>
        </is>
      </c>
      <c r="L2" s="5" t="inlineStr"/>
      <c r="M2" s="5" t="inlineStr"/>
      <c r="N2" s="5" t="inlineStr"/>
      <c r="O2" s="5" t="inlineStr"/>
      <c r="P2" s="5" t="inlineStr"/>
    </row>
    <row r="3" ht="48" customHeight="1">
      <c r="A3" s="19" t="inlineStr">
        <is>
          <t>AUTH-002</t>
        </is>
      </c>
      <c r="B3" s="19" t="inlineStr">
        <is>
          <t>Authentication</t>
        </is>
      </c>
      <c r="C3" s="19" t="inlineStr">
        <is>
          <t>Login</t>
        </is>
      </c>
      <c r="D3" s="19" t="inlineStr">
        <is>
          <t>Critical</t>
        </is>
      </c>
      <c r="E3" s="19" t="inlineStr">
        <is>
          <t>Tenant can log in and lands on portal</t>
        </is>
      </c>
      <c r="F3" s="19" t="inlineStr">
        <is>
          <t>Tenant account exists with assigned unit.</t>
        </is>
      </c>
      <c r="G3" s="19" t="inlineStr">
        <is>
          <t>1. Navigate to /login.
2. Enter tenant email + password.
3. Click Sign In.</t>
        </is>
      </c>
      <c r="H3" s="19" t="inlineStr">
        <is>
          <t>john@example.com / tenant123</t>
        </is>
      </c>
      <c r="I3" s="19" t="inlineStr">
        <is>
          <t>User is redirected to /portal. Dashboard shows tenant's name, balance, and rentals.</t>
        </is>
      </c>
      <c r="J3" s="19" t="inlineStr"/>
      <c r="K3" s="19" t="inlineStr">
        <is>
          <t>Not Run</t>
        </is>
      </c>
      <c r="L3" s="19" t="inlineStr"/>
      <c r="M3" s="19" t="inlineStr"/>
      <c r="N3" s="19" t="inlineStr"/>
      <c r="O3" s="19" t="inlineStr"/>
      <c r="P3" s="19" t="inlineStr"/>
    </row>
    <row r="4" ht="48" customHeight="1">
      <c r="A4" s="5" t="inlineStr">
        <is>
          <t>AUTH-003</t>
        </is>
      </c>
      <c r="B4" s="5" t="inlineStr">
        <is>
          <t>Authentication</t>
        </is>
      </c>
      <c r="C4" s="5" t="inlineStr">
        <is>
          <t>Login</t>
        </is>
      </c>
      <c r="D4" s="5" t="inlineStr">
        <is>
          <t>High</t>
        </is>
      </c>
      <c r="E4" s="5" t="inlineStr">
        <is>
          <t>Login fails with wrong password</t>
        </is>
      </c>
      <c r="F4" s="5" t="inlineStr">
        <is>
          <t>Tenant account exists.</t>
        </is>
      </c>
      <c r="G4" s="5" t="inlineStr">
        <is>
          <t>1. Navigate to /login.
2. Enter valid email + wrong password.
3. Click Sign In.</t>
        </is>
      </c>
      <c r="H4" s="5" t="inlineStr">
        <is>
          <t>john@example.com / WrongPass</t>
        </is>
      </c>
      <c r="I4" s="5" t="inlineStr">
        <is>
          <t>Error message displayed (generic 'invalid credentials'). User stays on login page. No session created.</t>
        </is>
      </c>
      <c r="J4" s="5" t="inlineStr"/>
      <c r="K4" s="5" t="inlineStr">
        <is>
          <t>Not Run</t>
        </is>
      </c>
      <c r="L4" s="5" t="inlineStr"/>
      <c r="M4" s="5" t="inlineStr"/>
      <c r="N4" s="5" t="inlineStr"/>
      <c r="O4" s="5" t="inlineStr"/>
      <c r="P4" s="5" t="inlineStr"/>
    </row>
    <row r="5" ht="48" customHeight="1">
      <c r="A5" s="19" t="inlineStr">
        <is>
          <t>AUTH-004</t>
        </is>
      </c>
      <c r="B5" s="19" t="inlineStr">
        <is>
          <t>Authentication</t>
        </is>
      </c>
      <c r="C5" s="19" t="inlineStr">
        <is>
          <t>Login</t>
        </is>
      </c>
      <c r="D5" s="19" t="inlineStr">
        <is>
          <t>Medium</t>
        </is>
      </c>
      <c r="E5" s="19" t="inlineStr">
        <is>
          <t>Login fails with non-existent email</t>
        </is>
      </c>
      <c r="F5" s="19" t="inlineStr">
        <is>
          <t>—</t>
        </is>
      </c>
      <c r="G5" s="19" t="inlineStr">
        <is>
          <t>1. Navigate to /login.
2. Enter random email + any password.
3. Click Sign In.</t>
        </is>
      </c>
      <c r="H5" s="19" t="inlineStr">
        <is>
          <t>noone@example.com / anything</t>
        </is>
      </c>
      <c r="I5" s="19" t="inlineStr">
        <is>
          <t>Same generic error as wrong password (no enumeration of valid emails).</t>
        </is>
      </c>
      <c r="J5" s="19" t="inlineStr"/>
      <c r="K5" s="19" t="inlineStr">
        <is>
          <t>Not Run</t>
        </is>
      </c>
      <c r="L5" s="19" t="inlineStr"/>
      <c r="M5" s="19" t="inlineStr"/>
      <c r="N5" s="19" t="inlineStr"/>
      <c r="O5" s="19" t="inlineStr"/>
      <c r="P5" s="19" t="inlineStr"/>
    </row>
    <row r="6" ht="48" customHeight="1">
      <c r="A6" s="5" t="inlineStr">
        <is>
          <t>AUTH-005</t>
        </is>
      </c>
      <c r="B6" s="5" t="inlineStr">
        <is>
          <t>Authentication</t>
        </is>
      </c>
      <c r="C6" s="5" t="inlineStr">
        <is>
          <t>Password reset</t>
        </is>
      </c>
      <c r="D6" s="5" t="inlineStr">
        <is>
          <t>High</t>
        </is>
      </c>
      <c r="E6" s="5" t="inlineStr">
        <is>
          <t>Tenant can request password reset</t>
        </is>
      </c>
      <c r="F6" s="5" t="inlineStr">
        <is>
          <t>Tenant account exists.</t>
        </is>
      </c>
      <c r="G6" s="5" t="inlineStr">
        <is>
          <t>1. Click 'Forgot Password' on login screen.
2. Enter tenant email.
3. Click Send.</t>
        </is>
      </c>
      <c r="H6" s="5" t="inlineStr">
        <is>
          <t>john@example.com</t>
        </is>
      </c>
      <c r="I6" s="5" t="inlineStr">
        <is>
          <t>Confirmation screen shown. Reset email arrives at inbox within 2 minutes with reset link.</t>
        </is>
      </c>
      <c r="J6" s="5" t="inlineStr"/>
      <c r="K6" s="5" t="inlineStr">
        <is>
          <t>Not Run</t>
        </is>
      </c>
      <c r="L6" s="5" t="inlineStr"/>
      <c r="M6" s="5" t="inlineStr"/>
      <c r="N6" s="5" t="inlineStr"/>
      <c r="O6" s="5" t="inlineStr"/>
      <c r="P6" s="5" t="inlineStr"/>
    </row>
    <row r="7" ht="48" customHeight="1">
      <c r="A7" s="19" t="inlineStr">
        <is>
          <t>AUTH-006</t>
        </is>
      </c>
      <c r="B7" s="19" t="inlineStr">
        <is>
          <t>Authentication</t>
        </is>
      </c>
      <c r="C7" s="19" t="inlineStr">
        <is>
          <t>Password reset</t>
        </is>
      </c>
      <c r="D7" s="19" t="inlineStr">
        <is>
          <t>High</t>
        </is>
      </c>
      <c r="E7" s="19" t="inlineStr">
        <is>
          <t>Reset link sets a new password</t>
        </is>
      </c>
      <c r="F7" s="19" t="inlineStr">
        <is>
          <t>Reset email received within last 24h.</t>
        </is>
      </c>
      <c r="G7" s="19" t="inlineStr">
        <is>
          <t>1. Open the reset link.
2. Enter new password (meets strength rules) twice.
3. Submit.
4. Log in with the new password.</t>
        </is>
      </c>
      <c r="H7" s="19" t="inlineStr">
        <is>
          <t>Strong new password (e.g., Tuscany!2026)</t>
        </is>
      </c>
      <c r="I7" s="19" t="inlineStr">
        <is>
          <t>Password is updated. Login with new password succeeds. Login with old password fails.</t>
        </is>
      </c>
      <c r="J7" s="19" t="inlineStr"/>
      <c r="K7" s="19" t="inlineStr">
        <is>
          <t>Not Run</t>
        </is>
      </c>
      <c r="L7" s="19" t="inlineStr"/>
      <c r="M7" s="19" t="inlineStr"/>
      <c r="N7" s="19" t="inlineStr"/>
      <c r="O7" s="19" t="inlineStr"/>
      <c r="P7" s="19" t="inlineStr"/>
    </row>
    <row r="8" ht="48" customHeight="1">
      <c r="A8" s="5" t="inlineStr">
        <is>
          <t>AUTH-007</t>
        </is>
      </c>
      <c r="B8" s="5" t="inlineStr">
        <is>
          <t>Authentication</t>
        </is>
      </c>
      <c r="C8" s="5" t="inlineStr">
        <is>
          <t>Password reset</t>
        </is>
      </c>
      <c r="D8" s="5" t="inlineStr">
        <is>
          <t>Medium</t>
        </is>
      </c>
      <c r="E8" s="5" t="inlineStr">
        <is>
          <t>Reset link expires after use</t>
        </is>
      </c>
      <c r="F8" s="5" t="inlineStr">
        <is>
          <t>Password just reset using a link.</t>
        </is>
      </c>
      <c r="G8" s="5" t="inlineStr">
        <is>
          <t>1. Open the same reset link a second time.</t>
        </is>
      </c>
      <c r="H8" s="5" t="inlineStr">
        <is>
          <t>—</t>
        </is>
      </c>
      <c r="I8" s="5" t="inlineStr">
        <is>
          <t>Link is rejected. Page shows 'link expired/invalid' message.</t>
        </is>
      </c>
      <c r="J8" s="5" t="inlineStr"/>
      <c r="K8" s="5" t="inlineStr">
        <is>
          <t>Not Run</t>
        </is>
      </c>
      <c r="L8" s="5" t="inlineStr"/>
      <c r="M8" s="5" t="inlineStr"/>
      <c r="N8" s="5" t="inlineStr"/>
      <c r="O8" s="5" t="inlineStr"/>
      <c r="P8" s="5" t="inlineStr"/>
    </row>
    <row r="9" ht="48" customHeight="1">
      <c r="A9" s="19" t="inlineStr">
        <is>
          <t>AUTH-008</t>
        </is>
      </c>
      <c r="B9" s="19" t="inlineStr">
        <is>
          <t>Authentication</t>
        </is>
      </c>
      <c r="C9" s="19" t="inlineStr">
        <is>
          <t>Logout</t>
        </is>
      </c>
      <c r="D9" s="19" t="inlineStr">
        <is>
          <t>High</t>
        </is>
      </c>
      <c r="E9" s="19" t="inlineStr">
        <is>
          <t>User can log out and session ends</t>
        </is>
      </c>
      <c r="F9" s="19" t="inlineStr">
        <is>
          <t>Logged in as any role.</t>
        </is>
      </c>
      <c r="G9" s="19" t="inlineStr">
        <is>
          <t>1. Click user menu in top-right.
2. Click Sign Out.
3. Try to navigate to /admin or /portal.</t>
        </is>
      </c>
      <c r="H9" s="19" t="inlineStr">
        <is>
          <t>—</t>
        </is>
      </c>
      <c r="I9" s="19" t="inlineStr">
        <is>
          <t>Redirected to /login. Protected pages redirect to login when accessed.</t>
        </is>
      </c>
      <c r="J9" s="19" t="inlineStr"/>
      <c r="K9" s="19" t="inlineStr">
        <is>
          <t>Not Run</t>
        </is>
      </c>
      <c r="L9" s="19" t="inlineStr"/>
      <c r="M9" s="19" t="inlineStr"/>
      <c r="N9" s="19" t="inlineStr"/>
      <c r="O9" s="19" t="inlineStr"/>
      <c r="P9" s="19" t="inlineStr"/>
    </row>
    <row r="10" ht="48" customHeight="1">
      <c r="A10" s="5" t="inlineStr">
        <is>
          <t>AUTH-009</t>
        </is>
      </c>
      <c r="B10" s="5" t="inlineStr">
        <is>
          <t>Authentication</t>
        </is>
      </c>
      <c r="C10" s="5" t="inlineStr">
        <is>
          <t>Session</t>
        </is>
      </c>
      <c r="D10" s="5" t="inlineStr">
        <is>
          <t>Medium</t>
        </is>
      </c>
      <c r="E10" s="5" t="inlineStr">
        <is>
          <t>Admin route blocks tenant role</t>
        </is>
      </c>
      <c r="F10" s="5" t="inlineStr">
        <is>
          <t>Logged in as tenant.</t>
        </is>
      </c>
      <c r="G10" s="5" t="inlineStr">
        <is>
          <t>1. While logged in as tenant, navigate directly to /admin in URL bar.</t>
        </is>
      </c>
      <c r="H10" s="5" t="inlineStr">
        <is>
          <t>—</t>
        </is>
      </c>
      <c r="I10" s="5" t="inlineStr">
        <is>
          <t>Tenant is redirected away (to /portal or /login). No admin content rendered.</t>
        </is>
      </c>
      <c r="J10" s="5" t="inlineStr"/>
      <c r="K10" s="5" t="inlineStr">
        <is>
          <t>Not Run</t>
        </is>
      </c>
      <c r="L10" s="5" t="inlineStr"/>
      <c r="M10" s="5" t="inlineStr"/>
      <c r="N10" s="5" t="inlineStr"/>
      <c r="O10" s="5" t="inlineStr"/>
      <c r="P10" s="5" t="inlineStr"/>
    </row>
    <row r="11" ht="48" customHeight="1">
      <c r="A11" s="19" t="inlineStr">
        <is>
          <t>PUB-001</t>
        </is>
      </c>
      <c r="B11" s="19" t="inlineStr">
        <is>
          <t>Public Site</t>
        </is>
      </c>
      <c r="C11" s="19" t="inlineStr">
        <is>
          <t>Home</t>
        </is>
      </c>
      <c r="D11" s="19" t="inlineStr">
        <is>
          <t>Medium</t>
        </is>
      </c>
      <c r="E11" s="19" t="inlineStr">
        <is>
          <t>Public homepage loads and displays facility info</t>
        </is>
      </c>
      <c r="F11" s="19" t="inlineStr">
        <is>
          <t>—</t>
        </is>
      </c>
      <c r="G11" s="19" t="inlineStr">
        <is>
          <t>1. Open the production URL in a fresh browser.</t>
        </is>
      </c>
      <c r="H11" s="19" t="inlineStr">
        <is>
          <t>—</t>
        </is>
      </c>
      <c r="I11" s="19" t="inlineStr">
        <is>
          <t>Homepage loads. Facility name, hero copy, and CTA buttons are visible. No JS errors in console.</t>
        </is>
      </c>
      <c r="J11" s="19" t="inlineStr"/>
      <c r="K11" s="19" t="inlineStr">
        <is>
          <t>Not Run</t>
        </is>
      </c>
      <c r="L11" s="19" t="inlineStr"/>
      <c r="M11" s="19" t="inlineStr"/>
      <c r="N11" s="19" t="inlineStr"/>
      <c r="O11" s="19" t="inlineStr"/>
      <c r="P11" s="19" t="inlineStr"/>
    </row>
    <row r="12" ht="52" customHeight="1">
      <c r="A12" s="5" t="inlineStr">
        <is>
          <t>PUB-002</t>
        </is>
      </c>
      <c r="B12" s="5" t="inlineStr">
        <is>
          <t>Public Site</t>
        </is>
      </c>
      <c r="C12" s="5" t="inlineStr">
        <is>
          <t>Units listing</t>
        </is>
      </c>
      <c r="D12" s="5" t="inlineStr">
        <is>
          <t>High</t>
        </is>
      </c>
      <c r="E12" s="5" t="inlineStr">
        <is>
          <t>Available units are displayed publicly</t>
        </is>
      </c>
      <c r="F12" s="5" t="inlineStr">
        <is>
          <t>At least one unit has status = available.</t>
        </is>
      </c>
      <c r="G12" s="5" t="inlineStr">
        <is>
          <t>1. From homepage, click 'Units' or 'Reserve'.
2. Browse the unit grid.</t>
        </is>
      </c>
      <c r="H12" s="5" t="inlineStr">
        <is>
          <t>—</t>
        </is>
      </c>
      <c r="I12" s="5" t="inlineStr">
        <is>
          <t>Units shown with size, monthly price, features. Filters by size work. Sold-out / occupied units do not appear as available.</t>
        </is>
      </c>
      <c r="J12" s="5" t="inlineStr"/>
      <c r="K12" s="5" t="inlineStr">
        <is>
          <t>Not Run</t>
        </is>
      </c>
      <c r="L12" s="5" t="inlineStr"/>
      <c r="M12" s="5" t="inlineStr"/>
      <c r="N12" s="5" t="inlineStr"/>
      <c r="O12" s="5" t="inlineStr"/>
      <c r="P12" s="5" t="inlineStr"/>
    </row>
    <row r="13" ht="48" customHeight="1">
      <c r="A13" s="19" t="inlineStr">
        <is>
          <t>PUB-003</t>
        </is>
      </c>
      <c r="B13" s="19" t="inlineStr">
        <is>
          <t>Public Site</t>
        </is>
      </c>
      <c r="C13" s="19" t="inlineStr">
        <is>
          <t>Size guide</t>
        </is>
      </c>
      <c r="D13" s="19" t="inlineStr">
        <is>
          <t>Low</t>
        </is>
      </c>
      <c r="E13" s="19" t="inlineStr">
        <is>
          <t>Size guide page renders</t>
        </is>
      </c>
      <c r="F13" s="19" t="inlineStr">
        <is>
          <t>—</t>
        </is>
      </c>
      <c r="G13" s="19" t="inlineStr">
        <is>
          <t>1. Navigate to /size-guide.</t>
        </is>
      </c>
      <c r="H13" s="19" t="inlineStr">
        <is>
          <t>—</t>
        </is>
      </c>
      <c r="I13" s="19" t="inlineStr">
        <is>
          <t>Visual comparisons for 5x5, 5x10, 10x10, 10x15, 10x20 displayed. Page is responsive on mobile.</t>
        </is>
      </c>
      <c r="J13" s="19" t="inlineStr"/>
      <c r="K13" s="19" t="inlineStr">
        <is>
          <t>Not Run</t>
        </is>
      </c>
      <c r="L13" s="19" t="inlineStr"/>
      <c r="M13" s="19" t="inlineStr"/>
      <c r="N13" s="19" t="inlineStr"/>
      <c r="O13" s="19" t="inlineStr"/>
      <c r="P13" s="19" t="inlineStr"/>
    </row>
    <row r="14" ht="48" customHeight="1">
      <c r="A14" s="5" t="inlineStr">
        <is>
          <t>PUB-004</t>
        </is>
      </c>
      <c r="B14" s="5" t="inlineStr">
        <is>
          <t>Public Site</t>
        </is>
      </c>
      <c r="C14" s="5" t="inlineStr">
        <is>
          <t>Contact form</t>
        </is>
      </c>
      <c r="D14" s="5" t="inlineStr">
        <is>
          <t>High</t>
        </is>
      </c>
      <c r="E14" s="5" t="inlineStr">
        <is>
          <t>Visitor can submit contact form</t>
        </is>
      </c>
      <c r="F14" s="5" t="inlineStr">
        <is>
          <t>—</t>
        </is>
      </c>
      <c r="G14" s="5" t="inlineStr">
        <is>
          <t>1. Navigate to /contact.
2. Fill name, email, subject, message.
3. Submit.</t>
        </is>
      </c>
      <c r="H14" s="5" t="inlineStr">
        <is>
          <t>Use a real reachable email</t>
        </is>
      </c>
      <c r="I14" s="5" t="inlineStr">
        <is>
          <t>Success confirmation displayed. Admin receives notification email. Submission appears in /admin/site-forms.</t>
        </is>
      </c>
      <c r="J14" s="5" t="inlineStr"/>
      <c r="K14" s="5" t="inlineStr">
        <is>
          <t>Not Run</t>
        </is>
      </c>
      <c r="L14" s="5" t="inlineStr"/>
      <c r="M14" s="5" t="inlineStr"/>
      <c r="N14" s="5" t="inlineStr"/>
      <c r="O14" s="5" t="inlineStr"/>
      <c r="P14" s="5" t="inlineStr"/>
    </row>
    <row r="15" ht="48" customHeight="1">
      <c r="A15" s="19" t="inlineStr">
        <is>
          <t>PUB-005</t>
        </is>
      </c>
      <c r="B15" s="19" t="inlineStr">
        <is>
          <t>Public Site</t>
        </is>
      </c>
      <c r="C15" s="19" t="inlineStr">
        <is>
          <t>Waiting list</t>
        </is>
      </c>
      <c r="D15" s="19" t="inlineStr">
        <is>
          <t>High</t>
        </is>
      </c>
      <c r="E15" s="19" t="inlineStr">
        <is>
          <t>Visitor can join waiting list for a size</t>
        </is>
      </c>
      <c r="F15" s="19" t="inlineStr">
        <is>
          <t>—</t>
        </is>
      </c>
      <c r="G15" s="19" t="inlineStr">
        <is>
          <t>1. Navigate to /waiting-list.
2. Fill form (name, email, phone, requested size, notes).
3. Complete captcha.
4. Submit.</t>
        </is>
      </c>
      <c r="H15" s="19" t="inlineStr">
        <is>
          <t>Valid contact info</t>
        </is>
      </c>
      <c r="I15" s="19" t="inlineStr">
        <is>
          <t>Confirmation shown. Entry appears in /admin/waiting-list. Confirmation email received.</t>
        </is>
      </c>
      <c r="J15" s="19" t="inlineStr"/>
      <c r="K15" s="19" t="inlineStr">
        <is>
          <t>Not Run</t>
        </is>
      </c>
      <c r="L15" s="19" t="inlineStr"/>
      <c r="M15" s="19" t="inlineStr"/>
      <c r="N15" s="19" t="inlineStr"/>
      <c r="O15" s="19" t="inlineStr"/>
      <c r="P15" s="19" t="inlineStr"/>
    </row>
    <row r="16" ht="48" customHeight="1">
      <c r="A16" s="5" t="inlineStr">
        <is>
          <t>PUB-006</t>
        </is>
      </c>
      <c r="B16" s="5" t="inlineStr">
        <is>
          <t>Public Site</t>
        </is>
      </c>
      <c r="C16" s="5" t="inlineStr">
        <is>
          <t>Blog</t>
        </is>
      </c>
      <c r="D16" s="5" t="inlineStr">
        <is>
          <t>Low</t>
        </is>
      </c>
      <c r="E16" s="5" t="inlineStr">
        <is>
          <t>Blog posts list and detail render</t>
        </is>
      </c>
      <c r="F16" s="5" t="inlineStr">
        <is>
          <t>At least one post is published.</t>
        </is>
      </c>
      <c r="G16" s="5" t="inlineStr">
        <is>
          <t>1. Navigate to /blog.
2. Click a post.</t>
        </is>
      </c>
      <c r="H16" s="5" t="inlineStr">
        <is>
          <t>—</t>
        </is>
      </c>
      <c r="I16" s="5" t="inlineStr">
        <is>
          <t>Posts listed with title and excerpt. Detail page shows full post content.</t>
        </is>
      </c>
      <c r="J16" s="5" t="inlineStr"/>
      <c r="K16" s="5" t="inlineStr">
        <is>
          <t>Not Run</t>
        </is>
      </c>
      <c r="L16" s="5" t="inlineStr"/>
      <c r="M16" s="5" t="inlineStr"/>
      <c r="N16" s="5" t="inlineStr"/>
      <c r="O16" s="5" t="inlineStr"/>
      <c r="P16" s="5" t="inlineStr"/>
    </row>
    <row r="17" ht="94" customHeight="1">
      <c r="A17" s="19" t="inlineStr">
        <is>
          <t>MOV-001</t>
        </is>
      </c>
      <c r="B17" s="19" t="inlineStr">
        <is>
          <t>Move-In</t>
        </is>
      </c>
      <c r="C17" s="19" t="inlineStr">
        <is>
          <t>Funnel</t>
        </is>
      </c>
      <c r="D17" s="19" t="inlineStr">
        <is>
          <t>Critical</t>
        </is>
      </c>
      <c r="E17" s="19" t="inlineStr">
        <is>
          <t>New tenant completes full move-in (happy path)</t>
        </is>
      </c>
      <c r="F17" s="19" t="inlineStr">
        <is>
          <t>Unit available. Tester has a working email + Stripe test card.</t>
        </is>
      </c>
      <c r="G17" s="19" t="inlineStr">
        <is>
          <t>1. From /units pick a unit, click Reserve.
2. Step 1 contact info: fill name/email/phone/address + SMS consent.
3. Step 2 personal info: DL, employer, emergency contact, etc.
4. Step 3 alternate contact (optional).
5. Step 4 billing info: Stripe card.
6. Step 5 review agreement, e-sign, accept terms.
7. Submit.</t>
        </is>
      </c>
      <c r="H17" s="19" t="inlineStr">
        <is>
          <t>Test card 4242 4242 4242 4242 / 12/30 / 123 / 12345</t>
        </is>
      </c>
      <c r="I17" s="19" t="inlineStr">
        <is>
          <t>Reservation succeeds. Tenant + Lease are created. Gate code is auto-assigned. Welcome email with login credentials received. Tenant is redirected to /portal with welcome modal.</t>
        </is>
      </c>
      <c r="J17" s="19" t="inlineStr"/>
      <c r="K17" s="19" t="inlineStr">
        <is>
          <t>Not Run</t>
        </is>
      </c>
      <c r="L17" s="19" t="inlineStr"/>
      <c r="M17" s="19" t="inlineStr"/>
      <c r="N17" s="19" t="inlineStr"/>
      <c r="O17" s="19" t="inlineStr"/>
      <c r="P17" s="19" t="inlineStr"/>
    </row>
    <row r="18" ht="48" customHeight="1">
      <c r="A18" s="5" t="inlineStr">
        <is>
          <t>MOV-002</t>
        </is>
      </c>
      <c r="B18" s="5" t="inlineStr">
        <is>
          <t>Move-In</t>
        </is>
      </c>
      <c r="C18" s="5" t="inlineStr">
        <is>
          <t>Validation</t>
        </is>
      </c>
      <c r="D18" s="5" t="inlineStr">
        <is>
          <t>High</t>
        </is>
      </c>
      <c r="E18" s="5" t="inlineStr">
        <is>
          <t>Move-in form blocks missing required fields</t>
        </is>
      </c>
      <c r="F18" s="5" t="inlineStr">
        <is>
          <t>—</t>
        </is>
      </c>
      <c r="G18" s="5" t="inlineStr">
        <is>
          <t>1. Start move-in flow.
2. On Step 1, click Next without filling any required field.</t>
        </is>
      </c>
      <c r="H18" s="5" t="inlineStr">
        <is>
          <t>—</t>
        </is>
      </c>
      <c r="I18" s="5" t="inlineStr">
        <is>
          <t>Form does not advance. Each required field shows an inline validation message.</t>
        </is>
      </c>
      <c r="J18" s="5" t="inlineStr"/>
      <c r="K18" s="5" t="inlineStr">
        <is>
          <t>Not Run</t>
        </is>
      </c>
      <c r="L18" s="5" t="inlineStr"/>
      <c r="M18" s="5" t="inlineStr"/>
      <c r="N18" s="5" t="inlineStr"/>
      <c r="O18" s="5" t="inlineStr"/>
      <c r="P18" s="5" t="inlineStr"/>
    </row>
    <row r="19" ht="48" customHeight="1">
      <c r="A19" s="19" t="inlineStr">
        <is>
          <t>MOV-003</t>
        </is>
      </c>
      <c r="B19" s="19" t="inlineStr">
        <is>
          <t>Move-In</t>
        </is>
      </c>
      <c r="C19" s="19" t="inlineStr">
        <is>
          <t>Validation</t>
        </is>
      </c>
      <c r="D19" s="19" t="inlineStr">
        <is>
          <t>High</t>
        </is>
      </c>
      <c r="E19" s="19" t="inlineStr">
        <is>
          <t>Move-in form rejects invalid email format</t>
        </is>
      </c>
      <c r="F19" s="19" t="inlineStr">
        <is>
          <t>—</t>
        </is>
      </c>
      <c r="G19" s="19" t="inlineStr">
        <is>
          <t>1. On Step 1, fill name + phone, enter 'not-an-email' in email field.
2. Try to advance.</t>
        </is>
      </c>
      <c r="H19" s="19" t="inlineStr">
        <is>
          <t>—</t>
        </is>
      </c>
      <c r="I19" s="19" t="inlineStr">
        <is>
          <t>Email field shows format-error. Cannot advance.</t>
        </is>
      </c>
      <c r="J19" s="19" t="inlineStr"/>
      <c r="K19" s="19" t="inlineStr">
        <is>
          <t>Not Run</t>
        </is>
      </c>
      <c r="L19" s="19" t="inlineStr"/>
      <c r="M19" s="19" t="inlineStr"/>
      <c r="N19" s="19" t="inlineStr"/>
      <c r="O19" s="19" t="inlineStr"/>
      <c r="P19" s="19" t="inlineStr"/>
    </row>
    <row r="20" ht="52" customHeight="1">
      <c r="A20" s="5" t="inlineStr">
        <is>
          <t>MOV-004</t>
        </is>
      </c>
      <c r="B20" s="5" t="inlineStr">
        <is>
          <t>Move-In</t>
        </is>
      </c>
      <c r="C20" s="5" t="inlineStr">
        <is>
          <t>Payment</t>
        </is>
      </c>
      <c r="D20" s="5" t="inlineStr">
        <is>
          <t>Critical</t>
        </is>
      </c>
      <c r="E20" s="5" t="inlineStr">
        <is>
          <t>Move-in is rejected when card is declined</t>
        </is>
      </c>
      <c r="F20" s="5" t="inlineStr">
        <is>
          <t>Unit available.</t>
        </is>
      </c>
      <c r="G20" s="5" t="inlineStr">
        <is>
          <t>1. Complete steps 1–4 of move-in.
2. Use decline test card on billing step.
3. Submit.</t>
        </is>
      </c>
      <c r="H20" s="5" t="inlineStr">
        <is>
          <t>Test card 4000 0000 0000 0002</t>
        </is>
      </c>
      <c r="I20" s="5" t="inlineStr">
        <is>
          <t>Payment fails with clear error. Tenant is NOT created. Lease is NOT created. No gate code issued. User can retry with different card.</t>
        </is>
      </c>
      <c r="J20" s="5" t="inlineStr"/>
      <c r="K20" s="5" t="inlineStr">
        <is>
          <t>Not Run</t>
        </is>
      </c>
      <c r="L20" s="5" t="inlineStr"/>
      <c r="M20" s="5" t="inlineStr"/>
      <c r="N20" s="5" t="inlineStr"/>
      <c r="O20" s="5" t="inlineStr"/>
      <c r="P20" s="5" t="inlineStr"/>
    </row>
    <row r="21" ht="48" customHeight="1">
      <c r="A21" s="19" t="inlineStr">
        <is>
          <t>MOV-005</t>
        </is>
      </c>
      <c r="B21" s="19" t="inlineStr">
        <is>
          <t>Move-In</t>
        </is>
      </c>
      <c r="C21" s="19" t="inlineStr">
        <is>
          <t>Agreement</t>
        </is>
      </c>
      <c r="D21" s="19" t="inlineStr">
        <is>
          <t>High</t>
        </is>
      </c>
      <c r="E21" s="19" t="inlineStr">
        <is>
          <t>Tenant can e-sign agreement during move-in</t>
        </is>
      </c>
      <c r="F21" s="19" t="inlineStr">
        <is>
          <t>On the e-sign step of move-in flow.</t>
        </is>
      </c>
      <c r="G21" s="19" t="inlineStr">
        <is>
          <t>1. Draw or type signature.
2. Tick the 'I agree' checkbox.
3. Submit.</t>
        </is>
      </c>
      <c r="H21" s="19" t="inlineStr">
        <is>
          <t>—</t>
        </is>
      </c>
      <c r="I21" s="19" t="inlineStr">
        <is>
          <t>Signature is captured. Agreement is marked signed. PDF of signed agreement available in tenant portal.</t>
        </is>
      </c>
      <c r="J21" s="19" t="inlineStr"/>
      <c r="K21" s="19" t="inlineStr">
        <is>
          <t>Not Run</t>
        </is>
      </c>
      <c r="L21" s="19" t="inlineStr"/>
      <c r="M21" s="19" t="inlineStr"/>
      <c r="N21" s="19" t="inlineStr"/>
      <c r="O21" s="19" t="inlineStr"/>
      <c r="P21" s="19" t="inlineStr"/>
    </row>
    <row r="22" ht="52" customHeight="1">
      <c r="A22" s="5" t="inlineStr">
        <is>
          <t>MOV-006</t>
        </is>
      </c>
      <c r="B22" s="5" t="inlineStr">
        <is>
          <t>Move-In</t>
        </is>
      </c>
      <c r="C22" s="5" t="inlineStr">
        <is>
          <t>Reservation fee</t>
        </is>
      </c>
      <c r="D22" s="5" t="inlineStr">
        <is>
          <t>Medium</t>
        </is>
      </c>
      <c r="E22" s="5" t="inlineStr">
        <is>
          <t>Reservation fee is charged when configured</t>
        </is>
      </c>
      <c r="F22" s="5" t="inlineStr">
        <is>
          <t>Reservation fee for that unit type is configured &gt; $0 in Settings.</t>
        </is>
      </c>
      <c r="G22" s="5" t="inlineStr">
        <is>
          <t>1. Complete a move-in for a unit type that has a reservation fee.</t>
        </is>
      </c>
      <c r="H22" s="5" t="inlineStr">
        <is>
          <t>Reservation fee = $25 (example)</t>
        </is>
      </c>
      <c r="I22" s="5" t="inlineStr">
        <is>
          <t>Reservation fee appears in pricing summary on the final step. Tenant is charged at submission (or added to first invoice, per facility setting).</t>
        </is>
      </c>
      <c r="J22" s="5" t="inlineStr"/>
      <c r="K22" s="5" t="inlineStr">
        <is>
          <t>Not Run</t>
        </is>
      </c>
      <c r="L22" s="5" t="inlineStr"/>
      <c r="M22" s="5" t="inlineStr"/>
      <c r="N22" s="5" t="inlineStr"/>
      <c r="O22" s="5" t="inlineStr"/>
      <c r="P22" s="5" t="inlineStr"/>
    </row>
    <row r="23" ht="48" customHeight="1">
      <c r="A23" s="19" t="inlineStr">
        <is>
          <t>MOV-007</t>
        </is>
      </c>
      <c r="B23" s="19" t="inlineStr">
        <is>
          <t>Move-In</t>
        </is>
      </c>
      <c r="C23" s="19" t="inlineStr">
        <is>
          <t>Welcome</t>
        </is>
      </c>
      <c r="D23" s="19" t="inlineStr">
        <is>
          <t>Medium</t>
        </is>
      </c>
      <c r="E23" s="19" t="inlineStr">
        <is>
          <t>Welcome modal appears on tenant's first portal visit</t>
        </is>
      </c>
      <c r="F23" s="19" t="inlineStr">
        <is>
          <t>Tenant just completed move-in.</t>
        </is>
      </c>
      <c r="G23" s="19" t="inlineStr">
        <is>
          <t>1. After move-in submission, observe portal first-load.</t>
        </is>
      </c>
      <c r="H23" s="19" t="inlineStr">
        <is>
          <t>—</t>
        </is>
      </c>
      <c r="I23" s="19" t="inlineStr">
        <is>
          <t>Modal appears with welcome message and instructions. Modal can be dismissed and does not re-appear on next login.</t>
        </is>
      </c>
      <c r="J23" s="19" t="inlineStr"/>
      <c r="K23" s="19" t="inlineStr">
        <is>
          <t>Not Run</t>
        </is>
      </c>
      <c r="L23" s="19" t="inlineStr"/>
      <c r="M23" s="19" t="inlineStr"/>
      <c r="N23" s="19" t="inlineStr"/>
      <c r="O23" s="19" t="inlineStr"/>
      <c r="P23" s="19" t="inlineStr"/>
    </row>
    <row r="24" ht="52" customHeight="1">
      <c r="A24" s="5" t="inlineStr">
        <is>
          <t>POR-001</t>
        </is>
      </c>
      <c r="B24" s="5" t="inlineStr">
        <is>
          <t>Tenant Portal</t>
        </is>
      </c>
      <c r="C24" s="5" t="inlineStr">
        <is>
          <t>Dashboard</t>
        </is>
      </c>
      <c r="D24" s="5" t="inlineStr">
        <is>
          <t>Critical</t>
        </is>
      </c>
      <c r="E24" s="5" t="inlineStr">
        <is>
          <t>Tenant dashboard shows correct balance and rentals</t>
        </is>
      </c>
      <c r="F24" s="5" t="inlineStr">
        <is>
          <t>Tenant is logged in with active lease and known balance.</t>
        </is>
      </c>
      <c r="G24" s="5" t="inlineStr">
        <is>
          <t>1. Navigate to /portal.</t>
        </is>
      </c>
      <c r="H24" s="5" t="inlineStr">
        <is>
          <t>—</t>
        </is>
      </c>
      <c r="I24" s="5" t="inlineStr">
        <is>
          <t>Dashboard displays tenant name, unit(s) with size/rate/next-bill-date, current balance, next-bill date, deposit, agreement-signed status.</t>
        </is>
      </c>
      <c r="J24" s="5" t="inlineStr"/>
      <c r="K24" s="5" t="inlineStr">
        <is>
          <t>Not Run</t>
        </is>
      </c>
      <c r="L24" s="5" t="inlineStr"/>
      <c r="M24" s="5" t="inlineStr"/>
      <c r="N24" s="5" t="inlineStr"/>
      <c r="O24" s="5" t="inlineStr"/>
      <c r="P24" s="5" t="inlineStr"/>
    </row>
    <row r="25" ht="48" customHeight="1">
      <c r="A25" s="19" t="inlineStr">
        <is>
          <t>POR-002</t>
        </is>
      </c>
      <c r="B25" s="19" t="inlineStr">
        <is>
          <t>Tenant Portal</t>
        </is>
      </c>
      <c r="C25" s="19" t="inlineStr">
        <is>
          <t>Profile</t>
        </is>
      </c>
      <c r="D25" s="19" t="inlineStr">
        <is>
          <t>High</t>
        </is>
      </c>
      <c r="E25" s="19" t="inlineStr">
        <is>
          <t>Tenant can update profile when enabled</t>
        </is>
      </c>
      <c r="F25" s="19" t="inlineStr">
        <is>
          <t>Setting customersCanEditProfile = true. Logged in as tenant.</t>
        </is>
      </c>
      <c r="G25" s="19" t="inlineStr">
        <is>
          <t>1. Navigate to /portal/profile.
2. Change phone number.
3. Save.</t>
        </is>
      </c>
      <c r="H25" s="19" t="inlineStr">
        <is>
          <t>Any new valid phone number</t>
        </is>
      </c>
      <c r="I25" s="19" t="inlineStr">
        <is>
          <t>Update succeeds. Reload shows new value. Admin tenant detail page reflects the new phone.</t>
        </is>
      </c>
      <c r="J25" s="19" t="inlineStr"/>
      <c r="K25" s="19" t="inlineStr">
        <is>
          <t>Not Run</t>
        </is>
      </c>
      <c r="L25" s="19" t="inlineStr"/>
      <c r="M25" s="19" t="inlineStr"/>
      <c r="N25" s="19" t="inlineStr"/>
      <c r="O25" s="19" t="inlineStr"/>
      <c r="P25" s="19" t="inlineStr"/>
    </row>
    <row r="26" ht="48" customHeight="1">
      <c r="A26" s="5" t="inlineStr">
        <is>
          <t>POR-003</t>
        </is>
      </c>
      <c r="B26" s="5" t="inlineStr">
        <is>
          <t>Tenant Portal</t>
        </is>
      </c>
      <c r="C26" s="5" t="inlineStr">
        <is>
          <t>Profile</t>
        </is>
      </c>
      <c r="D26" s="5" t="inlineStr">
        <is>
          <t>Medium</t>
        </is>
      </c>
      <c r="E26" s="5" t="inlineStr">
        <is>
          <t>Profile edit hidden when disabled</t>
        </is>
      </c>
      <c r="F26" s="5" t="inlineStr">
        <is>
          <t>Setting customersCanEditProfile = false.</t>
        </is>
      </c>
      <c r="G26" s="5" t="inlineStr">
        <is>
          <t>1. Navigate to /portal/profile as tenant.</t>
        </is>
      </c>
      <c r="H26" s="5" t="inlineStr">
        <is>
          <t>—</t>
        </is>
      </c>
      <c r="I26" s="5" t="inlineStr">
        <is>
          <t>Profile fields are read-only. No Save button visible.</t>
        </is>
      </c>
      <c r="J26" s="5" t="inlineStr"/>
      <c r="K26" s="5" t="inlineStr">
        <is>
          <t>Not Run</t>
        </is>
      </c>
      <c r="L26" s="5" t="inlineStr"/>
      <c r="M26" s="5" t="inlineStr"/>
      <c r="N26" s="5" t="inlineStr"/>
      <c r="O26" s="5" t="inlineStr"/>
      <c r="P26" s="5" t="inlineStr"/>
    </row>
    <row r="27" ht="52" customHeight="1">
      <c r="A27" s="19" t="inlineStr">
        <is>
          <t>POR-004</t>
        </is>
      </c>
      <c r="B27" s="19" t="inlineStr">
        <is>
          <t>Tenant Portal</t>
        </is>
      </c>
      <c r="C27" s="19" t="inlineStr">
        <is>
          <t>Billing</t>
        </is>
      </c>
      <c r="D27" s="19" t="inlineStr">
        <is>
          <t>High</t>
        </is>
      </c>
      <c r="E27" s="19" t="inlineStr">
        <is>
          <t>Tenant can add a payment method</t>
        </is>
      </c>
      <c r="F27" s="19" t="inlineStr">
        <is>
          <t>Tenant has no card on file.</t>
        </is>
      </c>
      <c r="G27" s="19" t="inlineStr">
        <is>
          <t>1. Navigate to /portal/billing.
2. Click Add Card.
3. Enter Stripe test card.
4. Save.</t>
        </is>
      </c>
      <c r="H27" s="19" t="inlineStr">
        <is>
          <t>Test card 4242 4242 4242 4242</t>
        </is>
      </c>
      <c r="I27" s="19" t="inlineStr">
        <is>
          <t>Card is saved. Last 4 digits and expiry are displayed on /portal/billing. Stripe Dashboard reflects new payment method on this customer.</t>
        </is>
      </c>
      <c r="J27" s="19" t="inlineStr"/>
      <c r="K27" s="19" t="inlineStr">
        <is>
          <t>Not Run</t>
        </is>
      </c>
      <c r="L27" s="19" t="inlineStr"/>
      <c r="M27" s="19" t="inlineStr"/>
      <c r="N27" s="19" t="inlineStr"/>
      <c r="O27" s="19" t="inlineStr"/>
      <c r="P27" s="19" t="inlineStr"/>
    </row>
    <row r="28" ht="48" customHeight="1">
      <c r="A28" s="5" t="inlineStr">
        <is>
          <t>POR-005</t>
        </is>
      </c>
      <c r="B28" s="5" t="inlineStr">
        <is>
          <t>Tenant Portal</t>
        </is>
      </c>
      <c r="C28" s="5" t="inlineStr">
        <is>
          <t>Billing</t>
        </is>
      </c>
      <c r="D28" s="5" t="inlineStr">
        <is>
          <t>High</t>
        </is>
      </c>
      <c r="E28" s="5" t="inlineStr">
        <is>
          <t>Tenant can replace existing card</t>
        </is>
      </c>
      <c r="F28" s="5" t="inlineStr">
        <is>
          <t>Tenant already has a card on file.</t>
        </is>
      </c>
      <c r="G28" s="5" t="inlineStr">
        <is>
          <t>1. Navigate to /portal/billing.
2. Click Update Card.
3. Enter new test card.
4. Save.</t>
        </is>
      </c>
      <c r="H28" s="5" t="inlineStr">
        <is>
          <t>Test card 4000 0025 0000 3155</t>
        </is>
      </c>
      <c r="I28" s="5" t="inlineStr">
        <is>
          <t>Old card is replaced. New card last 4 / expiry are displayed. Stripe customer's default payment method is updated.</t>
        </is>
      </c>
      <c r="J28" s="5" t="inlineStr"/>
      <c r="K28" s="5" t="inlineStr">
        <is>
          <t>Not Run</t>
        </is>
      </c>
      <c r="L28" s="5" t="inlineStr"/>
      <c r="M28" s="5" t="inlineStr"/>
      <c r="N28" s="5" t="inlineStr"/>
      <c r="O28" s="5" t="inlineStr"/>
      <c r="P28" s="5" t="inlineStr"/>
    </row>
    <row r="29" ht="48" customHeight="1">
      <c r="A29" s="19" t="inlineStr">
        <is>
          <t>POR-006</t>
        </is>
      </c>
      <c r="B29" s="19" t="inlineStr">
        <is>
          <t>Tenant Portal</t>
        </is>
      </c>
      <c r="C29" s="19" t="inlineStr">
        <is>
          <t>Billing</t>
        </is>
      </c>
      <c r="D29" s="19" t="inlineStr">
        <is>
          <t>High</t>
        </is>
      </c>
      <c r="E29" s="19" t="inlineStr">
        <is>
          <t>Tenant can toggle autopay on/off</t>
        </is>
      </c>
      <c r="F29" s="19" t="inlineStr">
        <is>
          <t>Logged in as tenant with card on file.</t>
        </is>
      </c>
      <c r="G29" s="19" t="inlineStr">
        <is>
          <t>1. Navigate to /portal/billing.
2. Toggle autopay on (then off).
3. Reload.</t>
        </is>
      </c>
      <c r="H29" s="19" t="inlineStr">
        <is>
          <t>—</t>
        </is>
      </c>
      <c r="I29" s="19" t="inlineStr">
        <is>
          <t>Toggle persists. Admin tenant page shows correct autopay status.</t>
        </is>
      </c>
      <c r="J29" s="19" t="inlineStr"/>
      <c r="K29" s="19" t="inlineStr">
        <is>
          <t>Not Run</t>
        </is>
      </c>
      <c r="L29" s="19" t="inlineStr"/>
      <c r="M29" s="19" t="inlineStr"/>
      <c r="N29" s="19" t="inlineStr"/>
      <c r="O29" s="19" t="inlineStr"/>
      <c r="P29" s="19" t="inlineStr"/>
    </row>
    <row r="30" ht="48" customHeight="1">
      <c r="A30" s="5" t="inlineStr">
        <is>
          <t>POR-007</t>
        </is>
      </c>
      <c r="B30" s="5" t="inlineStr">
        <is>
          <t>Tenant Portal</t>
        </is>
      </c>
      <c r="C30" s="5" t="inlineStr">
        <is>
          <t>Payments</t>
        </is>
      </c>
      <c r="D30" s="5" t="inlineStr">
        <is>
          <t>Critical</t>
        </is>
      </c>
      <c r="E30" s="5" t="inlineStr">
        <is>
          <t>Tenant can make a one-time payment</t>
        </is>
      </c>
      <c r="F30" s="5" t="inlineStr">
        <is>
          <t>Tenant has an outstanding balance and a saved card.</t>
        </is>
      </c>
      <c r="G30" s="5" t="inlineStr">
        <is>
          <t>1. Navigate to /portal/payments/new.
2. Choose 'Pay full balance' (or custom amount).
3. Select saved card.
4. Submit.</t>
        </is>
      </c>
      <c r="H30" s="5" t="inlineStr">
        <is>
          <t>—</t>
        </is>
      </c>
      <c r="I30" s="5" t="inlineStr">
        <is>
          <t>Payment succeeds. Balance updates to $0 (or reduced). Receipt email is received. Payment appears in history.</t>
        </is>
      </c>
      <c r="J30" s="5" t="inlineStr"/>
      <c r="K30" s="5" t="inlineStr">
        <is>
          <t>Not Run</t>
        </is>
      </c>
      <c r="L30" s="5" t="inlineStr"/>
      <c r="M30" s="5" t="inlineStr"/>
      <c r="N30" s="5" t="inlineStr"/>
      <c r="O30" s="5" t="inlineStr"/>
      <c r="P30" s="5" t="inlineStr"/>
    </row>
    <row r="31" ht="48" customHeight="1">
      <c r="A31" s="19" t="inlineStr">
        <is>
          <t>POR-008</t>
        </is>
      </c>
      <c r="B31" s="19" t="inlineStr">
        <is>
          <t>Tenant Portal</t>
        </is>
      </c>
      <c r="C31" s="19" t="inlineStr">
        <is>
          <t>Payments</t>
        </is>
      </c>
      <c r="D31" s="19" t="inlineStr">
        <is>
          <t>High</t>
        </is>
      </c>
      <c r="E31" s="19" t="inlineStr">
        <is>
          <t>Payment with 3D Secure card triggers SCA challenge</t>
        </is>
      </c>
      <c r="F31" s="19" t="inlineStr">
        <is>
          <t>Tenant has outstanding balance.</t>
        </is>
      </c>
      <c r="G31" s="19" t="inlineStr">
        <is>
          <t>1. Make a payment using the 3DS-required test card.</t>
        </is>
      </c>
      <c r="H31" s="19" t="inlineStr">
        <is>
          <t>Card 4000 0025 0000 3155</t>
        </is>
      </c>
      <c r="I31" s="19" t="inlineStr">
        <is>
          <t>3D Secure popup/redirect appears. After completing challenge, payment succeeds.</t>
        </is>
      </c>
      <c r="J31" s="19" t="inlineStr"/>
      <c r="K31" s="19" t="inlineStr">
        <is>
          <t>Not Run</t>
        </is>
      </c>
      <c r="L31" s="19" t="inlineStr"/>
      <c r="M31" s="19" t="inlineStr"/>
      <c r="N31" s="19" t="inlineStr"/>
      <c r="O31" s="19" t="inlineStr"/>
      <c r="P31" s="19" t="inlineStr"/>
    </row>
    <row r="32" ht="48" customHeight="1">
      <c r="A32" s="5" t="inlineStr">
        <is>
          <t>POR-009</t>
        </is>
      </c>
      <c r="B32" s="5" t="inlineStr">
        <is>
          <t>Tenant Portal</t>
        </is>
      </c>
      <c r="C32" s="5" t="inlineStr">
        <is>
          <t>Payments</t>
        </is>
      </c>
      <c r="D32" s="5" t="inlineStr">
        <is>
          <t>High</t>
        </is>
      </c>
      <c r="E32" s="5" t="inlineStr">
        <is>
          <t>Failed payment is recorded and surfaces to tenant</t>
        </is>
      </c>
      <c r="F32" s="5" t="inlineStr">
        <is>
          <t>Tenant has outstanding balance.</t>
        </is>
      </c>
      <c r="G32" s="5" t="inlineStr">
        <is>
          <t>1. Make a payment using the decline card.</t>
        </is>
      </c>
      <c r="H32" s="5" t="inlineStr">
        <is>
          <t>Card 4000 0000 0000 0002</t>
        </is>
      </c>
      <c r="I32" s="5" t="inlineStr">
        <is>
          <t>Clear error message shown. Balance does not change. Failed payment recorded in admin payments report.</t>
        </is>
      </c>
      <c r="J32" s="5" t="inlineStr"/>
      <c r="K32" s="5" t="inlineStr">
        <is>
          <t>Not Run</t>
        </is>
      </c>
      <c r="L32" s="5" t="inlineStr"/>
      <c r="M32" s="5" t="inlineStr"/>
      <c r="N32" s="5" t="inlineStr"/>
      <c r="O32" s="5" t="inlineStr"/>
      <c r="P32" s="5" t="inlineStr"/>
    </row>
    <row r="33" ht="48" customHeight="1">
      <c r="A33" s="19" t="inlineStr">
        <is>
          <t>POR-010</t>
        </is>
      </c>
      <c r="B33" s="19" t="inlineStr">
        <is>
          <t>Tenant Portal</t>
        </is>
      </c>
      <c r="C33" s="19" t="inlineStr">
        <is>
          <t>Payments</t>
        </is>
      </c>
      <c r="D33" s="19" t="inlineStr">
        <is>
          <t>Medium</t>
        </is>
      </c>
      <c r="E33" s="19" t="inlineStr">
        <is>
          <t>Payment history shows all completed payments</t>
        </is>
      </c>
      <c r="F33" s="19" t="inlineStr">
        <is>
          <t>Tenant has at least 2 historical payments.</t>
        </is>
      </c>
      <c r="G33" s="19" t="inlineStr">
        <is>
          <t>1. Navigate to /portal/payments.</t>
        </is>
      </c>
      <c r="H33" s="19" t="inlineStr">
        <is>
          <t>—</t>
        </is>
      </c>
      <c r="I33" s="19" t="inlineStr">
        <is>
          <t>Payment history table lists date, amount, status, and link to receipt for each payment.</t>
        </is>
      </c>
      <c r="J33" s="19" t="inlineStr"/>
      <c r="K33" s="19" t="inlineStr">
        <is>
          <t>Not Run</t>
        </is>
      </c>
      <c r="L33" s="19" t="inlineStr"/>
      <c r="M33" s="19" t="inlineStr"/>
      <c r="N33" s="19" t="inlineStr"/>
      <c r="O33" s="19" t="inlineStr"/>
      <c r="P33" s="19" t="inlineStr"/>
    </row>
    <row r="34" ht="48" customHeight="1">
      <c r="A34" s="5" t="inlineStr">
        <is>
          <t>POR-011</t>
        </is>
      </c>
      <c r="B34" s="5" t="inlineStr">
        <is>
          <t>Tenant Portal</t>
        </is>
      </c>
      <c r="C34" s="5" t="inlineStr">
        <is>
          <t>Gate code</t>
        </is>
      </c>
      <c r="D34" s="5" t="inlineStr">
        <is>
          <t>Critical</t>
        </is>
      </c>
      <c r="E34" s="5" t="inlineStr">
        <is>
          <t>Tenant can view their gate code</t>
        </is>
      </c>
      <c r="F34" s="5" t="inlineStr">
        <is>
          <t>Logged in as tenant with gate code assigned.</t>
        </is>
      </c>
      <c r="G34" s="5" t="inlineStr">
        <is>
          <t>1. Navigate to /portal/gate-code.
2. Click Reveal.</t>
        </is>
      </c>
      <c r="H34" s="5" t="inlineStr">
        <is>
          <t>—</t>
        </is>
      </c>
      <c r="I34" s="5" t="inlineStr">
        <is>
          <t>Code is blurred by default. Reveal toggle un-blurs the code. Same code shown as in admin tenant detail.</t>
        </is>
      </c>
      <c r="J34" s="5" t="inlineStr"/>
      <c r="K34" s="5" t="inlineStr">
        <is>
          <t>Not Run</t>
        </is>
      </c>
      <c r="L34" s="5" t="inlineStr"/>
      <c r="M34" s="5" t="inlineStr"/>
      <c r="N34" s="5" t="inlineStr"/>
      <c r="O34" s="5" t="inlineStr"/>
      <c r="P34" s="5" t="inlineStr"/>
    </row>
    <row r="35" ht="52" customHeight="1">
      <c r="A35" s="19" t="inlineStr">
        <is>
          <t>POR-012</t>
        </is>
      </c>
      <c r="B35" s="19" t="inlineStr">
        <is>
          <t>Tenant Portal</t>
        </is>
      </c>
      <c r="C35" s="19" t="inlineStr">
        <is>
          <t>Gate code</t>
        </is>
      </c>
      <c r="D35" s="19" t="inlineStr">
        <is>
          <t>High</t>
        </is>
      </c>
      <c r="E35" s="19" t="inlineStr">
        <is>
          <t>Tenant can request a new gate code</t>
        </is>
      </c>
      <c r="F35" s="19" t="inlineStr">
        <is>
          <t>Tenant logged in.</t>
        </is>
      </c>
      <c r="G35" s="19" t="inlineStr">
        <is>
          <t>1. Navigate to /portal/gate-code.
2. Click 'Request New Code'.
3. Confirm.</t>
        </is>
      </c>
      <c r="H35" s="19" t="inlineStr">
        <is>
          <t>—</t>
        </is>
      </c>
      <c r="I35" s="19" t="inlineStr">
        <is>
          <t>New code generated and displayed. SMS with new code received within 2 minutes. Old code no longer works at gate (verify if PDK is live).</t>
        </is>
      </c>
      <c r="J35" s="19" t="inlineStr"/>
      <c r="K35" s="19" t="inlineStr">
        <is>
          <t>Not Run</t>
        </is>
      </c>
      <c r="L35" s="19" t="inlineStr"/>
      <c r="M35" s="19" t="inlineStr"/>
      <c r="N35" s="19" t="inlineStr"/>
      <c r="O35" s="19" t="inlineStr"/>
      <c r="P35" s="19" t="inlineStr"/>
    </row>
    <row r="36" ht="48" customHeight="1">
      <c r="A36" s="5" t="inlineStr">
        <is>
          <t>POR-013</t>
        </is>
      </c>
      <c r="B36" s="5" t="inlineStr">
        <is>
          <t>Tenant Portal</t>
        </is>
      </c>
      <c r="C36" s="5" t="inlineStr">
        <is>
          <t>Gate access history</t>
        </is>
      </c>
      <c r="D36" s="5" t="inlineStr">
        <is>
          <t>Medium</t>
        </is>
      </c>
      <c r="E36" s="5" t="inlineStr">
        <is>
          <t>Tenant sees their own access events</t>
        </is>
      </c>
      <c r="F36" s="5" t="inlineStr">
        <is>
          <t>Tenant has at least one historical gate entry.</t>
        </is>
      </c>
      <c r="G36" s="5" t="inlineStr">
        <is>
          <t>1. Navigate to /portal/gate-code.
2. Scroll to access history.</t>
        </is>
      </c>
      <c r="H36" s="5" t="inlineStr">
        <is>
          <t>—</t>
        </is>
      </c>
      <c r="I36" s="5" t="inlineStr">
        <is>
          <t>List shows tenant's entry/exit events with timestamp, gate name, source. Filterable by event type and date range.</t>
        </is>
      </c>
      <c r="J36" s="5" t="inlineStr"/>
      <c r="K36" s="5" t="inlineStr">
        <is>
          <t>Not Run</t>
        </is>
      </c>
      <c r="L36" s="5" t="inlineStr"/>
      <c r="M36" s="5" t="inlineStr"/>
      <c r="N36" s="5" t="inlineStr"/>
      <c r="O36" s="5" t="inlineStr"/>
      <c r="P36" s="5" t="inlineStr"/>
    </row>
    <row r="37" ht="48" customHeight="1">
      <c r="A37" s="19" t="inlineStr">
        <is>
          <t>POR-014</t>
        </is>
      </c>
      <c r="B37" s="19" t="inlineStr">
        <is>
          <t>Tenant Portal</t>
        </is>
      </c>
      <c r="C37" s="19" t="inlineStr">
        <is>
          <t>Move-out request</t>
        </is>
      </c>
      <c r="D37" s="19" t="inlineStr">
        <is>
          <t>High</t>
        </is>
      </c>
      <c r="E37" s="19" t="inlineStr">
        <is>
          <t>Tenant can request a move-out date</t>
        </is>
      </c>
      <c r="F37" s="19" t="inlineStr">
        <is>
          <t>Logged in as tenant with active lease, setting customersCanScheduleMoveOuts = true.</t>
        </is>
      </c>
      <c r="G37" s="19" t="inlineStr">
        <is>
          <t>1. Navigate to /portal/move-out.
2. Pick lease, date, optional notes.
3. Submit.</t>
        </is>
      </c>
      <c r="H37" s="19" t="inlineStr">
        <is>
          <t>Move-out date 7 days from today</t>
        </is>
      </c>
      <c r="I37" s="19" t="inlineStr">
        <is>
          <t>Confirmation displayed. Admin sees the request in /admin/move-out as 'pending_moveout'.</t>
        </is>
      </c>
      <c r="J37" s="19" t="inlineStr"/>
      <c r="K37" s="19" t="inlineStr">
        <is>
          <t>Not Run</t>
        </is>
      </c>
      <c r="L37" s="19" t="inlineStr"/>
      <c r="M37" s="19" t="inlineStr"/>
      <c r="N37" s="19" t="inlineStr"/>
      <c r="O37" s="19" t="inlineStr"/>
      <c r="P37" s="19" t="inlineStr"/>
    </row>
    <row r="38" ht="48" customHeight="1">
      <c r="A38" s="5" t="inlineStr">
        <is>
          <t>POR-015</t>
        </is>
      </c>
      <c r="B38" s="5" t="inlineStr">
        <is>
          <t>Tenant Portal</t>
        </is>
      </c>
      <c r="C38" s="5" t="inlineStr">
        <is>
          <t>Move-out request</t>
        </is>
      </c>
      <c r="D38" s="5" t="inlineStr">
        <is>
          <t>Medium</t>
        </is>
      </c>
      <c r="E38" s="5" t="inlineStr">
        <is>
          <t>Move-out nav item hidden when disabled</t>
        </is>
      </c>
      <c r="F38" s="5" t="inlineStr">
        <is>
          <t>Setting customersCanScheduleMoveOuts = false.</t>
        </is>
      </c>
      <c r="G38" s="5" t="inlineStr">
        <is>
          <t>1. Log in as tenant.
2. Inspect portal sidebar.</t>
        </is>
      </c>
      <c r="H38" s="5" t="inlineStr">
        <is>
          <t>—</t>
        </is>
      </c>
      <c r="I38" s="5" t="inlineStr">
        <is>
          <t>'Move Out' item does not appear in the sidebar. Direct URL /portal/move-out returns a friendly disabled message or 404.</t>
        </is>
      </c>
      <c r="J38" s="5" t="inlineStr"/>
      <c r="K38" s="5" t="inlineStr">
        <is>
          <t>Not Run</t>
        </is>
      </c>
      <c r="L38" s="5" t="inlineStr"/>
      <c r="M38" s="5" t="inlineStr"/>
      <c r="N38" s="5" t="inlineStr"/>
      <c r="O38" s="5" t="inlineStr"/>
      <c r="P38" s="5" t="inlineStr"/>
    </row>
    <row r="39" ht="48" customHeight="1">
      <c r="A39" s="19" t="inlineStr">
        <is>
          <t>POR-016</t>
        </is>
      </c>
      <c r="B39" s="19" t="inlineStr">
        <is>
          <t>Tenant Portal</t>
        </is>
      </c>
      <c r="C39" s="19" t="inlineStr">
        <is>
          <t>Lease</t>
        </is>
      </c>
      <c r="D39" s="19" t="inlineStr">
        <is>
          <t>High</t>
        </is>
      </c>
      <c r="E39" s="19" t="inlineStr">
        <is>
          <t>Tenant can sign an unsigned lease from portal</t>
        </is>
      </c>
      <c r="F39" s="19" t="inlineStr">
        <is>
          <t>Tenant has lease with status active but unsigned.</t>
        </is>
      </c>
      <c r="G39" s="19" t="inlineStr">
        <is>
          <t>1. Navigate to /portal/lease/sign?leaseId=...
2. Draw / type signature.
3. Submit.</t>
        </is>
      </c>
      <c r="H39" s="19" t="inlineStr">
        <is>
          <t>—</t>
        </is>
      </c>
      <c r="I39" s="19" t="inlineStr">
        <is>
          <t>Signature captured. Lease marked signed. Signed PDF available in /portal/lease and emailed to tenant.</t>
        </is>
      </c>
      <c r="J39" s="19" t="inlineStr"/>
      <c r="K39" s="19" t="inlineStr">
        <is>
          <t>Not Run</t>
        </is>
      </c>
      <c r="L39" s="19" t="inlineStr"/>
      <c r="M39" s="19" t="inlineStr"/>
      <c r="N39" s="19" t="inlineStr"/>
      <c r="O39" s="19" t="inlineStr"/>
      <c r="P39" s="19" t="inlineStr"/>
    </row>
    <row r="40" ht="48" customHeight="1">
      <c r="A40" s="5" t="inlineStr">
        <is>
          <t>POR-017</t>
        </is>
      </c>
      <c r="B40" s="5" t="inlineStr">
        <is>
          <t>Tenant Portal</t>
        </is>
      </c>
      <c r="C40" s="5" t="inlineStr">
        <is>
          <t>Instructions</t>
        </is>
      </c>
      <c r="D40" s="5" t="inlineStr">
        <is>
          <t>Low</t>
        </is>
      </c>
      <c r="E40" s="5" t="inlineStr">
        <is>
          <t>Instructions page renders configured content</t>
        </is>
      </c>
      <c r="F40" s="5" t="inlineStr">
        <is>
          <t>Settings.newRenterInstructions has content.</t>
        </is>
      </c>
      <c r="G40" s="5" t="inlineStr">
        <is>
          <t>1. Navigate to /portal/instructions.</t>
        </is>
      </c>
      <c r="H40" s="5" t="inlineStr">
        <is>
          <t>—</t>
        </is>
      </c>
      <c r="I40" s="5" t="inlineStr">
        <is>
          <t>Page shows the formatted instructions from settings.</t>
        </is>
      </c>
      <c r="J40" s="5" t="inlineStr"/>
      <c r="K40" s="5" t="inlineStr">
        <is>
          <t>Not Run</t>
        </is>
      </c>
      <c r="L40" s="5" t="inlineStr"/>
      <c r="M40" s="5" t="inlineStr"/>
      <c r="N40" s="5" t="inlineStr"/>
      <c r="O40" s="5" t="inlineStr"/>
      <c r="P40" s="5" t="inlineStr"/>
    </row>
    <row r="41" ht="48" customHeight="1">
      <c r="A41" s="19" t="inlineStr">
        <is>
          <t>ATEN-001</t>
        </is>
      </c>
      <c r="B41" s="19" t="inlineStr">
        <is>
          <t>Admin / Tenants</t>
        </is>
      </c>
      <c r="C41" s="19" t="inlineStr">
        <is>
          <t>List</t>
        </is>
      </c>
      <c r="D41" s="19" t="inlineStr">
        <is>
          <t>High</t>
        </is>
      </c>
      <c r="E41" s="19" t="inlineStr">
        <is>
          <t>Admin sees full tenant list with key columns</t>
        </is>
      </c>
      <c r="F41" s="19" t="inlineStr">
        <is>
          <t>Database has tenants.</t>
        </is>
      </c>
      <c r="G41" s="19" t="inlineStr">
        <is>
          <t>1. Log in as admin.
2. Navigate to /admin/tenants.</t>
        </is>
      </c>
      <c r="H41" s="19" t="inlineStr">
        <is>
          <t>—</t>
        </is>
      </c>
      <c r="I41" s="19" t="inlineStr">
        <is>
          <t>Table loads with name, unit, status, balance, autopay indicator. Pagination works. Search by name returns matches.</t>
        </is>
      </c>
      <c r="J41" s="19" t="inlineStr"/>
      <c r="K41" s="19" t="inlineStr">
        <is>
          <t>Not Run</t>
        </is>
      </c>
      <c r="L41" s="19" t="inlineStr"/>
      <c r="M41" s="19" t="inlineStr"/>
      <c r="N41" s="19" t="inlineStr"/>
      <c r="O41" s="19" t="inlineStr"/>
      <c r="P41" s="19" t="inlineStr"/>
    </row>
    <row r="42" ht="48" customHeight="1">
      <c r="A42" s="5" t="inlineStr">
        <is>
          <t>ATEN-002</t>
        </is>
      </c>
      <c r="B42" s="5" t="inlineStr">
        <is>
          <t>Admin / Tenants</t>
        </is>
      </c>
      <c r="C42" s="5" t="inlineStr">
        <is>
          <t>Search &amp; filter</t>
        </is>
      </c>
      <c r="D42" s="5" t="inlineStr">
        <is>
          <t>Medium</t>
        </is>
      </c>
      <c r="E42" s="5" t="inlineStr">
        <is>
          <t>Filter by status returns correct subset</t>
        </is>
      </c>
      <c r="F42" s="5" t="inlineStr">
        <is>
          <t>Tenants in multiple statuses exist.</t>
        </is>
      </c>
      <c r="G42" s="5" t="inlineStr">
        <is>
          <t>1. On /admin/tenants apply status filter = 'Delinquent'.</t>
        </is>
      </c>
      <c r="H42" s="5" t="inlineStr">
        <is>
          <t>—</t>
        </is>
      </c>
      <c r="I42" s="5" t="inlineStr">
        <is>
          <t>Only delinquent tenants are listed. Counter updates.</t>
        </is>
      </c>
      <c r="J42" s="5" t="inlineStr"/>
      <c r="K42" s="5" t="inlineStr">
        <is>
          <t>Not Run</t>
        </is>
      </c>
      <c r="L42" s="5" t="inlineStr"/>
      <c r="M42" s="5" t="inlineStr"/>
      <c r="N42" s="5" t="inlineStr"/>
      <c r="O42" s="5" t="inlineStr"/>
      <c r="P42" s="5" t="inlineStr"/>
    </row>
    <row r="43" ht="48" customHeight="1">
      <c r="A43" s="19" t="inlineStr">
        <is>
          <t>ATEN-003</t>
        </is>
      </c>
      <c r="B43" s="19" t="inlineStr">
        <is>
          <t>Admin / Tenants</t>
        </is>
      </c>
      <c r="C43" s="19" t="inlineStr">
        <is>
          <t>Detail</t>
        </is>
      </c>
      <c r="D43" s="19" t="inlineStr">
        <is>
          <t>High</t>
        </is>
      </c>
      <c r="E43" s="19" t="inlineStr">
        <is>
          <t>Tenant detail shows contact, leases, balance, billing history</t>
        </is>
      </c>
      <c r="F43" s="19" t="inlineStr">
        <is>
          <t>Open a known tenant.</t>
        </is>
      </c>
      <c r="G43" s="19" t="inlineStr">
        <is>
          <t>1. Click a tenant row.</t>
        </is>
      </c>
      <c r="H43" s="19" t="inlineStr">
        <is>
          <t>—</t>
        </is>
      </c>
      <c r="I43" s="19" t="inlineStr">
        <is>
          <t>Detail page shows contact info, active leases, balance, recent 10 transactions, autopay status, default card.</t>
        </is>
      </c>
      <c r="J43" s="19" t="inlineStr"/>
      <c r="K43" s="19" t="inlineStr">
        <is>
          <t>Not Run</t>
        </is>
      </c>
      <c r="L43" s="19" t="inlineStr"/>
      <c r="M43" s="19" t="inlineStr"/>
      <c r="N43" s="19" t="inlineStr"/>
      <c r="O43" s="19" t="inlineStr"/>
      <c r="P43" s="19" t="inlineStr"/>
    </row>
    <row r="44" ht="48" customHeight="1">
      <c r="A44" s="5" t="inlineStr">
        <is>
          <t>ATEN-004</t>
        </is>
      </c>
      <c r="B44" s="5" t="inlineStr">
        <is>
          <t>Admin / Tenants</t>
        </is>
      </c>
      <c r="C44" s="5" t="inlineStr">
        <is>
          <t>Create</t>
        </is>
      </c>
      <c r="D44" s="5" t="inlineStr">
        <is>
          <t>High</t>
        </is>
      </c>
      <c r="E44" s="5" t="inlineStr">
        <is>
          <t>Admin can create a new tenant manually</t>
        </is>
      </c>
      <c r="F44" s="5" t="inlineStr">
        <is>
          <t>—</t>
        </is>
      </c>
      <c r="G44" s="5" t="inlineStr">
        <is>
          <t>1. Click 'New Tenant' on /admin/tenants.
2. Fill all required fields.
3. Save.</t>
        </is>
      </c>
      <c r="H44" s="5" t="inlineStr">
        <is>
          <t>Unique email, name, phone</t>
        </is>
      </c>
      <c r="I44" s="5" t="inlineStr">
        <is>
          <t>Tenant is created. Confirmation shown. New tenant appears in list. Optional welcome email is sent if enabled.</t>
        </is>
      </c>
      <c r="J44" s="5" t="inlineStr"/>
      <c r="K44" s="5" t="inlineStr">
        <is>
          <t>Not Run</t>
        </is>
      </c>
      <c r="L44" s="5" t="inlineStr"/>
      <c r="M44" s="5" t="inlineStr"/>
      <c r="N44" s="5" t="inlineStr"/>
      <c r="O44" s="5" t="inlineStr"/>
      <c r="P44" s="5" t="inlineStr"/>
    </row>
    <row r="45" ht="48" customHeight="1">
      <c r="A45" s="19" t="inlineStr">
        <is>
          <t>ATEN-005</t>
        </is>
      </c>
      <c r="B45" s="19" t="inlineStr">
        <is>
          <t>Admin / Tenants</t>
        </is>
      </c>
      <c r="C45" s="19" t="inlineStr">
        <is>
          <t>Edit</t>
        </is>
      </c>
      <c r="D45" s="19" t="inlineStr">
        <is>
          <t>Medium</t>
        </is>
      </c>
      <c r="E45" s="19" t="inlineStr">
        <is>
          <t>Admin can edit tenant contact info</t>
        </is>
      </c>
      <c r="F45" s="19" t="inlineStr">
        <is>
          <t>Open a tenant detail.</t>
        </is>
      </c>
      <c r="G45" s="19" t="inlineStr">
        <is>
          <t>1. Click Edit.
2. Change address.
3. Save.</t>
        </is>
      </c>
      <c r="H45" s="19" t="inlineStr">
        <is>
          <t>—</t>
        </is>
      </c>
      <c r="I45" s="19" t="inlineStr">
        <is>
          <t>Address updated. Reload confirms change.</t>
        </is>
      </c>
      <c r="J45" s="19" t="inlineStr"/>
      <c r="K45" s="19" t="inlineStr">
        <is>
          <t>Not Run</t>
        </is>
      </c>
      <c r="L45" s="19" t="inlineStr"/>
      <c r="M45" s="19" t="inlineStr"/>
      <c r="N45" s="19" t="inlineStr"/>
      <c r="O45" s="19" t="inlineStr"/>
      <c r="P45" s="19" t="inlineStr"/>
    </row>
    <row r="46" ht="48" customHeight="1">
      <c r="A46" s="5" t="inlineStr">
        <is>
          <t>ATEN-006</t>
        </is>
      </c>
      <c r="B46" s="5" t="inlineStr">
        <is>
          <t>Admin / Tenants</t>
        </is>
      </c>
      <c r="C46" s="5" t="inlineStr">
        <is>
          <t>Password reset</t>
        </is>
      </c>
      <c r="D46" s="5" t="inlineStr">
        <is>
          <t>Medium</t>
        </is>
      </c>
      <c r="E46" s="5" t="inlineStr">
        <is>
          <t>Admin can send password reset link to tenant</t>
        </is>
      </c>
      <c r="F46" s="5" t="inlineStr">
        <is>
          <t>Open a tenant.</t>
        </is>
      </c>
      <c r="G46" s="5" t="inlineStr">
        <is>
          <t>1. Click 'Send Password Reset'.</t>
        </is>
      </c>
      <c r="H46" s="5" t="inlineStr">
        <is>
          <t>—</t>
        </is>
      </c>
      <c r="I46" s="5" t="inlineStr">
        <is>
          <t>Confirmation shown. Tenant inbox receives reset email.</t>
        </is>
      </c>
      <c r="J46" s="5" t="inlineStr"/>
      <c r="K46" s="5" t="inlineStr">
        <is>
          <t>Not Run</t>
        </is>
      </c>
      <c r="L46" s="5" t="inlineStr"/>
      <c r="M46" s="5" t="inlineStr"/>
      <c r="N46" s="5" t="inlineStr"/>
      <c r="O46" s="5" t="inlineStr"/>
      <c r="P46" s="5" t="inlineStr"/>
    </row>
    <row r="47" ht="48" customHeight="1">
      <c r="A47" s="19" t="inlineStr">
        <is>
          <t>ATEN-007</t>
        </is>
      </c>
      <c r="B47" s="19" t="inlineStr">
        <is>
          <t>Admin / Tenants</t>
        </is>
      </c>
      <c r="C47" s="19" t="inlineStr">
        <is>
          <t>Rent unit</t>
        </is>
      </c>
      <c r="D47" s="19" t="inlineStr">
        <is>
          <t>Critical</t>
        </is>
      </c>
      <c r="E47" s="19" t="inlineStr">
        <is>
          <t>Admin can rent a unit to an existing tenant</t>
        </is>
      </c>
      <c r="F47" s="19" t="inlineStr">
        <is>
          <t>Tenant with no active lease exists. Unit with status=available exists.</t>
        </is>
      </c>
      <c r="G47" s="19" t="inlineStr">
        <is>
          <t>1. Open tenant.
2. Click Rent Unit.
3. Select unit.
4. Configure rate, deposit, proration, billing day.
5. Submit.</t>
        </is>
      </c>
      <c r="H47" s="19" t="inlineStr">
        <is>
          <t>Available unit, monthly rate $150, billing day 1</t>
        </is>
      </c>
      <c r="I47" s="19" t="inlineStr">
        <is>
          <t>Lease is created. Unit status changes to occupied. First invoice generated. Tenant appears with new unit on portal.</t>
        </is>
      </c>
      <c r="J47" s="19" t="inlineStr"/>
      <c r="K47" s="19" t="inlineStr">
        <is>
          <t>Not Run</t>
        </is>
      </c>
      <c r="L47" s="19" t="inlineStr"/>
      <c r="M47" s="19" t="inlineStr"/>
      <c r="N47" s="19" t="inlineStr"/>
      <c r="O47" s="19" t="inlineStr"/>
      <c r="P47" s="19" t="inlineStr"/>
    </row>
    <row r="48" ht="48" customHeight="1">
      <c r="A48" s="5" t="inlineStr">
        <is>
          <t>ATEN-008</t>
        </is>
      </c>
      <c r="B48" s="5" t="inlineStr">
        <is>
          <t>Admin / Tenants</t>
        </is>
      </c>
      <c r="C48" s="5" t="inlineStr">
        <is>
          <t>Reserve unit</t>
        </is>
      </c>
      <c r="D48" s="5" t="inlineStr">
        <is>
          <t>Medium</t>
        </is>
      </c>
      <c r="E48" s="5" t="inlineStr">
        <is>
          <t>Admin can reserve a unit for a tenant</t>
        </is>
      </c>
      <c r="F48" s="5" t="inlineStr">
        <is>
          <t>Unit available, reservation fee may be configured.</t>
        </is>
      </c>
      <c r="G48" s="5" t="inlineStr">
        <is>
          <t>1. Open tenant.
2. Reserve Unit → pick unit → set reserve end date → save.</t>
        </is>
      </c>
      <c r="H48" s="5" t="inlineStr">
        <is>
          <t>Reserve until 7 days from today</t>
        </is>
      </c>
      <c r="I48" s="5" t="inlineStr">
        <is>
          <t>Unit changes to 'reserved'. Reservation fee (if configured) is added to tenant balance.</t>
        </is>
      </c>
      <c r="J48" s="5" t="inlineStr"/>
      <c r="K48" s="5" t="inlineStr">
        <is>
          <t>Not Run</t>
        </is>
      </c>
      <c r="L48" s="5" t="inlineStr"/>
      <c r="M48" s="5" t="inlineStr"/>
      <c r="N48" s="5" t="inlineStr"/>
      <c r="O48" s="5" t="inlineStr"/>
      <c r="P48" s="5" t="inlineStr"/>
    </row>
    <row r="49" ht="48" customHeight="1">
      <c r="A49" s="19" t="inlineStr">
        <is>
          <t>ATEN-009</t>
        </is>
      </c>
      <c r="B49" s="19" t="inlineStr">
        <is>
          <t>Admin / Tenants</t>
        </is>
      </c>
      <c r="C49" s="19" t="inlineStr">
        <is>
          <t>Gate access</t>
        </is>
      </c>
      <c r="D49" s="19" t="inlineStr">
        <is>
          <t>Critical</t>
        </is>
      </c>
      <c r="E49" s="19" t="inlineStr">
        <is>
          <t>Admin can regenerate a tenant gate code</t>
        </is>
      </c>
      <c r="F49" s="19" t="inlineStr">
        <is>
          <t>Tenant has unit + existing code.</t>
        </is>
      </c>
      <c r="G49" s="19" t="inlineStr">
        <is>
          <t>1. Open tenant Gate Access.
2. Click Regenerate Code.</t>
        </is>
      </c>
      <c r="H49" s="19" t="inlineStr">
        <is>
          <t>—</t>
        </is>
      </c>
      <c r="I49" s="19" t="inlineStr">
        <is>
          <t>Code changes. Tenant receives SMS notification with new code (if SMS enabled). Old code stops working at gate.</t>
        </is>
      </c>
      <c r="J49" s="19" t="inlineStr"/>
      <c r="K49" s="19" t="inlineStr">
        <is>
          <t>Not Run</t>
        </is>
      </c>
      <c r="L49" s="19" t="inlineStr"/>
      <c r="M49" s="19" t="inlineStr"/>
      <c r="N49" s="19" t="inlineStr"/>
      <c r="O49" s="19" t="inlineStr"/>
      <c r="P49" s="19" t="inlineStr"/>
    </row>
    <row r="50" ht="52" customHeight="1">
      <c r="A50" s="5" t="inlineStr">
        <is>
          <t>ATEN-010</t>
        </is>
      </c>
      <c r="B50" s="5" t="inlineStr">
        <is>
          <t>Admin / Tenants</t>
        </is>
      </c>
      <c r="C50" s="5" t="inlineStr">
        <is>
          <t>Gate access</t>
        </is>
      </c>
      <c r="D50" s="5" t="inlineStr">
        <is>
          <t>High</t>
        </is>
      </c>
      <c r="E50" s="5" t="inlineStr">
        <is>
          <t>Admin can manually lock out a tenant</t>
        </is>
      </c>
      <c r="F50" s="5" t="inlineStr">
        <is>
          <t>Tenant has active gate access.</t>
        </is>
      </c>
      <c r="G50" s="5" t="inlineStr">
        <is>
          <t>1. Open tenant Gate Access.
2. Set lockout = today, add reason.
3. Save.</t>
        </is>
      </c>
      <c r="H50" s="5" t="inlineStr">
        <is>
          <t>Reason: 'UAT — manual lockout'</t>
        </is>
      </c>
      <c r="I50" s="5" t="inlineStr">
        <is>
          <t>Tenant status updates to 'Locked Out'. Tenant removed from PDK access group (when PDK enabled). Tenant portal shows locked-out banner.</t>
        </is>
      </c>
      <c r="J50" s="5" t="inlineStr"/>
      <c r="K50" s="5" t="inlineStr">
        <is>
          <t>Not Run</t>
        </is>
      </c>
      <c r="L50" s="5" t="inlineStr"/>
      <c r="M50" s="5" t="inlineStr"/>
      <c r="N50" s="5" t="inlineStr"/>
      <c r="O50" s="5" t="inlineStr"/>
      <c r="P50" s="5" t="inlineStr"/>
    </row>
    <row r="51" ht="48" customHeight="1">
      <c r="A51" s="19" t="inlineStr">
        <is>
          <t>ATEN-011</t>
        </is>
      </c>
      <c r="B51" s="19" t="inlineStr">
        <is>
          <t>Admin / Tenants</t>
        </is>
      </c>
      <c r="C51" s="19" t="inlineStr">
        <is>
          <t>Gate access</t>
        </is>
      </c>
      <c r="D51" s="19" t="inlineStr">
        <is>
          <t>High</t>
        </is>
      </c>
      <c r="E51" s="19" t="inlineStr">
        <is>
          <t>Admin can unlock a tenant</t>
        </is>
      </c>
      <c r="F51" s="19" t="inlineStr">
        <is>
          <t>Tenant is currently locked out.</t>
        </is>
      </c>
      <c r="G51" s="19" t="inlineStr">
        <is>
          <t>1. Open tenant Gate Access.
2. Click Unlock / clear lockout.</t>
        </is>
      </c>
      <c r="H51" s="19" t="inlineStr">
        <is>
          <t>—</t>
        </is>
      </c>
      <c r="I51" s="19" t="inlineStr">
        <is>
          <t>Status returns to Active. Gate access restored at PDK. Tenant can use code again.</t>
        </is>
      </c>
      <c r="J51" s="19" t="inlineStr"/>
      <c r="K51" s="19" t="inlineStr">
        <is>
          <t>Not Run</t>
        </is>
      </c>
      <c r="L51" s="19" t="inlineStr"/>
      <c r="M51" s="19" t="inlineStr"/>
      <c r="N51" s="19" t="inlineStr"/>
      <c r="O51" s="19" t="inlineStr"/>
      <c r="P51" s="19" t="inlineStr"/>
    </row>
    <row r="52" ht="48" customHeight="1">
      <c r="A52" s="5" t="inlineStr">
        <is>
          <t>ATEN-012</t>
        </is>
      </c>
      <c r="B52" s="5" t="inlineStr">
        <is>
          <t>Admin / Tenants</t>
        </is>
      </c>
      <c r="C52" s="5" t="inlineStr">
        <is>
          <t>Make payment</t>
        </is>
      </c>
      <c r="D52" s="5" t="inlineStr">
        <is>
          <t>Critical</t>
        </is>
      </c>
      <c r="E52" s="5" t="inlineStr">
        <is>
          <t>Admin can charge tenant card off-session</t>
        </is>
      </c>
      <c r="F52" s="5" t="inlineStr">
        <is>
          <t>Tenant has card on file.</t>
        </is>
      </c>
      <c r="G52" s="5" t="inlineStr">
        <is>
          <t>1. Open tenant.
2. Click Make Payment.
3. Enter amount + description.
4. Submit.</t>
        </is>
      </c>
      <c r="H52" s="5" t="inlineStr">
        <is>
          <t>Amount $50, type rent</t>
        </is>
      </c>
      <c r="I52" s="5" t="inlineStr">
        <is>
          <t>Payment succeeds via Stripe. Receipt issued. Balance adjusts. Charge appears in tenant billing history.</t>
        </is>
      </c>
      <c r="J52" s="5" t="inlineStr"/>
      <c r="K52" s="5" t="inlineStr">
        <is>
          <t>Not Run</t>
        </is>
      </c>
      <c r="L52" s="5" t="inlineStr"/>
      <c r="M52" s="5" t="inlineStr"/>
      <c r="N52" s="5" t="inlineStr"/>
      <c r="O52" s="5" t="inlineStr"/>
      <c r="P52" s="5" t="inlineStr"/>
    </row>
    <row r="53" ht="48" customHeight="1">
      <c r="A53" s="19" t="inlineStr">
        <is>
          <t>ATEN-013</t>
        </is>
      </c>
      <c r="B53" s="19" t="inlineStr">
        <is>
          <t>Admin / Tenants</t>
        </is>
      </c>
      <c r="C53" s="19" t="inlineStr">
        <is>
          <t>Add credit</t>
        </is>
      </c>
      <c r="D53" s="19" t="inlineStr">
        <is>
          <t>Medium</t>
        </is>
      </c>
      <c r="E53" s="19" t="inlineStr">
        <is>
          <t>Admin can apply a credit to tenant account</t>
        </is>
      </c>
      <c r="F53" s="19" t="inlineStr">
        <is>
          <t>Open tenant.</t>
        </is>
      </c>
      <c r="G53" s="19" t="inlineStr">
        <is>
          <t>1. Click Add Credit.
2. Enter amount + reason.
3. Save.</t>
        </is>
      </c>
      <c r="H53" s="19" t="inlineStr">
        <is>
          <t>Credit $20, reason 'UAT credit'</t>
        </is>
      </c>
      <c r="I53" s="19" t="inlineStr">
        <is>
          <t>Negative charge (credit) appears in billing history. Balance reduces by amount.</t>
        </is>
      </c>
      <c r="J53" s="19" t="inlineStr"/>
      <c r="K53" s="19" t="inlineStr">
        <is>
          <t>Not Run</t>
        </is>
      </c>
      <c r="L53" s="19" t="inlineStr"/>
      <c r="M53" s="19" t="inlineStr"/>
      <c r="N53" s="19" t="inlineStr"/>
      <c r="O53" s="19" t="inlineStr"/>
      <c r="P53" s="19" t="inlineStr"/>
    </row>
    <row r="54" ht="48" customHeight="1">
      <c r="A54" s="5" t="inlineStr">
        <is>
          <t>ATEN-014</t>
        </is>
      </c>
      <c r="B54" s="5" t="inlineStr">
        <is>
          <t>Admin / Tenants</t>
        </is>
      </c>
      <c r="C54" s="5" t="inlineStr">
        <is>
          <t>Refund</t>
        </is>
      </c>
      <c r="D54" s="5" t="inlineStr">
        <is>
          <t>High</t>
        </is>
      </c>
      <c r="E54" s="5" t="inlineStr">
        <is>
          <t>Admin can refund a card payment</t>
        </is>
      </c>
      <c r="F54" s="5" t="inlineStr">
        <is>
          <t>Tenant has a recent successful card payment.</t>
        </is>
      </c>
      <c r="G54" s="5" t="inlineStr">
        <is>
          <t>1. Open tenant billing history.
2. Click a card payment → Refund.
3. Enter amount + reason.
4. Submit.</t>
        </is>
      </c>
      <c r="H54" s="5" t="inlineStr">
        <is>
          <t>Refund $10 of a $50 payment</t>
        </is>
      </c>
      <c r="I54" s="5" t="inlineStr">
        <is>
          <t>Stripe refund initiated (verify in Stripe Dashboard). Refund record created. Tenant balance reflects refund.</t>
        </is>
      </c>
      <c r="J54" s="5" t="inlineStr"/>
      <c r="K54" s="5" t="inlineStr">
        <is>
          <t>Not Run</t>
        </is>
      </c>
      <c r="L54" s="5" t="inlineStr"/>
      <c r="M54" s="5" t="inlineStr"/>
      <c r="N54" s="5" t="inlineStr"/>
      <c r="O54" s="5" t="inlineStr"/>
      <c r="P54" s="5" t="inlineStr"/>
    </row>
    <row r="55" ht="48" customHeight="1">
      <c r="A55" s="19" t="inlineStr">
        <is>
          <t>ATEN-015</t>
        </is>
      </c>
      <c r="B55" s="19" t="inlineStr">
        <is>
          <t>Admin / Tenants</t>
        </is>
      </c>
      <c r="C55" s="19" t="inlineStr">
        <is>
          <t>Recurring fees</t>
        </is>
      </c>
      <c r="D55" s="19" t="inlineStr">
        <is>
          <t>Medium</t>
        </is>
      </c>
      <c r="E55" s="19" t="inlineStr">
        <is>
          <t>Admin can add a recurring monthly fee to a tenant</t>
        </is>
      </c>
      <c r="F55" s="19" t="inlineStr">
        <is>
          <t>Open tenant Recurring Fees page.</t>
        </is>
      </c>
      <c r="G55" s="19" t="inlineStr">
        <is>
          <t>1. New recurring fee → name, amount, due day, auto-charge flag.
2. Save.</t>
        </is>
      </c>
      <c r="H55" s="19" t="inlineStr">
        <is>
          <t>$10 Insurance, day 1, auto-charge on</t>
        </is>
      </c>
      <c r="I55" s="19" t="inlineStr">
        <is>
          <t>Fee appears in tenant recurring fees list. On the due day, autopay job picks it up and charges if card available.</t>
        </is>
      </c>
      <c r="J55" s="19" t="inlineStr"/>
      <c r="K55" s="19" t="inlineStr">
        <is>
          <t>Not Run</t>
        </is>
      </c>
      <c r="L55" s="19" t="inlineStr"/>
      <c r="M55" s="19" t="inlineStr"/>
      <c r="N55" s="19" t="inlineStr"/>
      <c r="O55" s="19" t="inlineStr"/>
      <c r="P55" s="19" t="inlineStr"/>
    </row>
    <row r="56" ht="48" customHeight="1">
      <c r="A56" s="5" t="inlineStr">
        <is>
          <t>ATEN-016</t>
        </is>
      </c>
      <c r="B56" s="5" t="inlineStr">
        <is>
          <t>Admin / Tenants</t>
        </is>
      </c>
      <c r="C56" s="5" t="inlineStr">
        <is>
          <t>Letters</t>
        </is>
      </c>
      <c r="D56" s="5" t="inlineStr">
        <is>
          <t>Low</t>
        </is>
      </c>
      <c r="E56" s="5" t="inlineStr">
        <is>
          <t>Admin can print a late notice for a tenant</t>
        </is>
      </c>
      <c r="F56" s="5" t="inlineStr">
        <is>
          <t>Open tenant.</t>
        </is>
      </c>
      <c r="G56" s="5" t="inlineStr">
        <is>
          <t>1. Letters → Late Notice → Print.</t>
        </is>
      </c>
      <c r="H56" s="5" t="inlineStr">
        <is>
          <t>—</t>
        </is>
      </c>
      <c r="I56" s="5" t="inlineStr">
        <is>
          <t>PDF generated with tenant name, balance, due date, and configured template.</t>
        </is>
      </c>
      <c r="J56" s="5" t="inlineStr"/>
      <c r="K56" s="5" t="inlineStr">
        <is>
          <t>Not Run</t>
        </is>
      </c>
      <c r="L56" s="5" t="inlineStr"/>
      <c r="M56" s="5" t="inlineStr"/>
      <c r="N56" s="5" t="inlineStr"/>
      <c r="O56" s="5" t="inlineStr"/>
      <c r="P56" s="5" t="inlineStr"/>
    </row>
    <row r="57" ht="52" customHeight="1">
      <c r="A57" s="19" t="inlineStr">
        <is>
          <t>ATEN-017</t>
        </is>
      </c>
      <c r="B57" s="19" t="inlineStr">
        <is>
          <t>Admin / Tenants</t>
        </is>
      </c>
      <c r="C57" s="19" t="inlineStr">
        <is>
          <t>Move-out finalize</t>
        </is>
      </c>
      <c r="D57" s="19" t="inlineStr">
        <is>
          <t>Critical</t>
        </is>
      </c>
      <c r="E57" s="19" t="inlineStr">
        <is>
          <t>Admin can finalize a move-out and issue receipt</t>
        </is>
      </c>
      <c r="F57" s="19" t="inlineStr">
        <is>
          <t>Tenant has pending move-out request.</t>
        </is>
      </c>
      <c r="G57" s="19" t="inlineStr">
        <is>
          <t>1. Open /admin/move-out → tenant.
2. Review final charges.
3. Click Finalize.
4. Send receipt via email.</t>
        </is>
      </c>
      <c r="H57" s="19" t="inlineStr">
        <is>
          <t>—</t>
        </is>
      </c>
      <c r="I57" s="19" t="inlineStr">
        <is>
          <t>Lease ended. Unit returns to available status. Tenant removed from PDK group. Move-out receipt email received with final settlement.</t>
        </is>
      </c>
      <c r="J57" s="19" t="inlineStr"/>
      <c r="K57" s="19" t="inlineStr">
        <is>
          <t>Not Run</t>
        </is>
      </c>
      <c r="L57" s="19" t="inlineStr"/>
      <c r="M57" s="19" t="inlineStr"/>
      <c r="N57" s="19" t="inlineStr"/>
      <c r="O57" s="19" t="inlineStr"/>
      <c r="P57" s="19" t="inlineStr"/>
    </row>
    <row r="58" ht="48" customHeight="1">
      <c r="A58" s="5" t="inlineStr">
        <is>
          <t>ATEN-018</t>
        </is>
      </c>
      <c r="B58" s="5" t="inlineStr">
        <is>
          <t>Admin / Tenants</t>
        </is>
      </c>
      <c r="C58" s="5" t="inlineStr">
        <is>
          <t>Duplicates</t>
        </is>
      </c>
      <c r="D58" s="5" t="inlineStr">
        <is>
          <t>Low</t>
        </is>
      </c>
      <c r="E58" s="5" t="inlineStr">
        <is>
          <t>Duplicate detection lists likely duplicates</t>
        </is>
      </c>
      <c r="F58" s="5" t="inlineStr">
        <is>
          <t>At least 2 tenant records share surname/address.</t>
        </is>
      </c>
      <c r="G58" s="5" t="inlineStr">
        <is>
          <t>1. Navigate to /admin/tenants/duplicates.</t>
        </is>
      </c>
      <c r="H58" s="5" t="inlineStr">
        <is>
          <t>—</t>
        </is>
      </c>
      <c r="I58" s="5" t="inlineStr">
        <is>
          <t>Likely duplicates listed with confidence score. Merge action consolidates the two records.</t>
        </is>
      </c>
      <c r="J58" s="5" t="inlineStr"/>
      <c r="K58" s="5" t="inlineStr">
        <is>
          <t>Not Run</t>
        </is>
      </c>
      <c r="L58" s="5" t="inlineStr"/>
      <c r="M58" s="5" t="inlineStr"/>
      <c r="N58" s="5" t="inlineStr"/>
      <c r="O58" s="5" t="inlineStr"/>
      <c r="P58" s="5" t="inlineStr"/>
    </row>
    <row r="59" ht="48" customHeight="1">
      <c r="A59" s="19" t="inlineStr">
        <is>
          <t>AUNI-001</t>
        </is>
      </c>
      <c r="B59" s="19" t="inlineStr">
        <is>
          <t>Admin / Units</t>
        </is>
      </c>
      <c r="C59" s="19" t="inlineStr">
        <is>
          <t>List view</t>
        </is>
      </c>
      <c r="D59" s="19" t="inlineStr">
        <is>
          <t>High</t>
        </is>
      </c>
      <c r="E59" s="19" t="inlineStr">
        <is>
          <t>Unit list loads with status, type, tenant, rate</t>
        </is>
      </c>
      <c r="F59" s="19" t="inlineStr">
        <is>
          <t>Units exist in DB.</t>
        </is>
      </c>
      <c r="G59" s="19" t="inlineStr">
        <is>
          <t>1. Navigate to /admin/units/list.</t>
        </is>
      </c>
      <c r="H59" s="19" t="inlineStr">
        <is>
          <t>—</t>
        </is>
      </c>
      <c r="I59" s="19" t="inlineStr">
        <is>
          <t>Table shows columns and supports sorting by number/rate. Filters by type and status work.</t>
        </is>
      </c>
      <c r="J59" s="19" t="inlineStr"/>
      <c r="K59" s="19" t="inlineStr">
        <is>
          <t>Not Run</t>
        </is>
      </c>
      <c r="L59" s="19" t="inlineStr"/>
      <c r="M59" s="19" t="inlineStr"/>
      <c r="N59" s="19" t="inlineStr"/>
      <c r="O59" s="19" t="inlineStr"/>
      <c r="P59" s="19" t="inlineStr"/>
    </row>
    <row r="60" ht="52" customHeight="1">
      <c r="A60" s="5" t="inlineStr">
        <is>
          <t>AUNI-002</t>
        </is>
      </c>
      <c r="B60" s="5" t="inlineStr">
        <is>
          <t>Admin / Units</t>
        </is>
      </c>
      <c r="C60" s="5" t="inlineStr">
        <is>
          <t>Site map</t>
        </is>
      </c>
      <c r="D60" s="5" t="inlineStr">
        <is>
          <t>Medium</t>
        </is>
      </c>
      <c r="E60" s="5" t="inlineStr">
        <is>
          <t>Site map renders units with status colours</t>
        </is>
      </c>
      <c r="F60" s="5" t="inlineStr">
        <is>
          <t>Units exist with floor layout.</t>
        </is>
      </c>
      <c r="G60" s="5" t="inlineStr">
        <is>
          <t>1. Navigate to /admin/units/site-map.</t>
        </is>
      </c>
      <c r="H60" s="5" t="inlineStr">
        <is>
          <t>—</t>
        </is>
      </c>
      <c r="I60" s="5" t="inlineStr">
        <is>
          <t>Visual layout displays units coloured by status (available, occupied, reserved, down). Clicking a unit opens its detail.</t>
        </is>
      </c>
      <c r="J60" s="5" t="inlineStr"/>
      <c r="K60" s="5" t="inlineStr">
        <is>
          <t>Not Run</t>
        </is>
      </c>
      <c r="L60" s="5" t="inlineStr"/>
      <c r="M60" s="5" t="inlineStr"/>
      <c r="N60" s="5" t="inlineStr"/>
      <c r="O60" s="5" t="inlineStr"/>
      <c r="P60" s="5" t="inlineStr"/>
    </row>
    <row r="61" ht="48" customHeight="1">
      <c r="A61" s="19" t="inlineStr">
        <is>
          <t>AUNI-003</t>
        </is>
      </c>
      <c r="B61" s="19" t="inlineStr">
        <is>
          <t>Admin / Units</t>
        </is>
      </c>
      <c r="C61" s="19" t="inlineStr">
        <is>
          <t>Create</t>
        </is>
      </c>
      <c r="D61" s="19" t="inlineStr">
        <is>
          <t>High</t>
        </is>
      </c>
      <c r="E61" s="19" t="inlineStr">
        <is>
          <t>Admin can create a new unit</t>
        </is>
      </c>
      <c r="F61" s="19" t="inlineStr">
        <is>
          <t>—</t>
        </is>
      </c>
      <c r="G61" s="19" t="inlineStr">
        <is>
          <t>1. Click New Unit.
2. Fill number, type, size, floor, price, features.
3. Save.</t>
        </is>
      </c>
      <c r="H61" s="19" t="inlineStr">
        <is>
          <t>Unit 999, 10x10, climate-controlled, $150/mo</t>
        </is>
      </c>
      <c r="I61" s="19" t="inlineStr">
        <is>
          <t>Unit is created. Appears in list and on site map.</t>
        </is>
      </c>
      <c r="J61" s="19" t="inlineStr"/>
      <c r="K61" s="19" t="inlineStr">
        <is>
          <t>Not Run</t>
        </is>
      </c>
      <c r="L61" s="19" t="inlineStr"/>
      <c r="M61" s="19" t="inlineStr"/>
      <c r="N61" s="19" t="inlineStr"/>
      <c r="O61" s="19" t="inlineStr"/>
      <c r="P61" s="19" t="inlineStr"/>
    </row>
    <row r="62" ht="48" customHeight="1">
      <c r="A62" s="5" t="inlineStr">
        <is>
          <t>AUNI-004</t>
        </is>
      </c>
      <c r="B62" s="5" t="inlineStr">
        <is>
          <t>Admin / Units</t>
        </is>
      </c>
      <c r="C62" s="5" t="inlineStr">
        <is>
          <t>Edit</t>
        </is>
      </c>
      <c r="D62" s="5" t="inlineStr">
        <is>
          <t>Medium</t>
        </is>
      </c>
      <c r="E62" s="5" t="inlineStr">
        <is>
          <t>Admin can edit unit price and features</t>
        </is>
      </c>
      <c r="F62" s="5" t="inlineStr">
        <is>
          <t>Open a unit detail.</t>
        </is>
      </c>
      <c r="G62" s="5" t="inlineStr">
        <is>
          <t>1. Click Edit.
2. Change street price.
3. Save.</t>
        </is>
      </c>
      <c r="H62" s="5" t="inlineStr">
        <is>
          <t>New price $175</t>
        </is>
      </c>
      <c r="I62" s="5" t="inlineStr">
        <is>
          <t>Update persists. Listing reflects new rate.</t>
        </is>
      </c>
      <c r="J62" s="5" t="inlineStr"/>
      <c r="K62" s="5" t="inlineStr">
        <is>
          <t>Not Run</t>
        </is>
      </c>
      <c r="L62" s="5" t="inlineStr"/>
      <c r="M62" s="5" t="inlineStr"/>
      <c r="N62" s="5" t="inlineStr"/>
      <c r="O62" s="5" t="inlineStr"/>
      <c r="P62" s="5" t="inlineStr"/>
    </row>
    <row r="63" ht="48" customHeight="1">
      <c r="A63" s="19" t="inlineStr">
        <is>
          <t>AUNI-005</t>
        </is>
      </c>
      <c r="B63" s="19" t="inlineStr">
        <is>
          <t>Admin / Units</t>
        </is>
      </c>
      <c r="C63" s="19" t="inlineStr">
        <is>
          <t>Maintenance</t>
        </is>
      </c>
      <c r="D63" s="19" t="inlineStr">
        <is>
          <t>Medium</t>
        </is>
      </c>
      <c r="E63" s="19" t="inlineStr">
        <is>
          <t>Admin can mark unit down for maintenance</t>
        </is>
      </c>
      <c r="F63" s="19" t="inlineStr">
        <is>
          <t>Open an available unit.</t>
        </is>
      </c>
      <c r="G63" s="19" t="inlineStr">
        <is>
          <t>1. Set status = Down.
2. Save.</t>
        </is>
      </c>
      <c r="H63" s="19" t="inlineStr">
        <is>
          <t>—</t>
        </is>
      </c>
      <c r="I63" s="19" t="inlineStr">
        <is>
          <t>Unit removed from public availability. Status shown as Down in admin views.</t>
        </is>
      </c>
      <c r="J63" s="19" t="inlineStr"/>
      <c r="K63" s="19" t="inlineStr">
        <is>
          <t>Not Run</t>
        </is>
      </c>
      <c r="L63" s="19" t="inlineStr"/>
      <c r="M63" s="19" t="inlineStr"/>
      <c r="N63" s="19" t="inlineStr"/>
      <c r="O63" s="19" t="inlineStr"/>
      <c r="P63" s="19" t="inlineStr"/>
    </row>
    <row r="64" ht="48" customHeight="1">
      <c r="A64" s="5" t="inlineStr">
        <is>
          <t>APAY-001</t>
        </is>
      </c>
      <c r="B64" s="5" t="inlineStr">
        <is>
          <t>Admin / Payments</t>
        </is>
      </c>
      <c r="C64" s="5" t="inlineStr">
        <is>
          <t>List</t>
        </is>
      </c>
      <c r="D64" s="5" t="inlineStr">
        <is>
          <t>High</t>
        </is>
      </c>
      <c r="E64" s="5" t="inlineStr">
        <is>
          <t>Payments list shows all transactions</t>
        </is>
      </c>
      <c r="F64" s="5" t="inlineStr">
        <is>
          <t>Payments exist.</t>
        </is>
      </c>
      <c r="G64" s="5" t="inlineStr">
        <is>
          <t>1. Navigate to /admin/payments.</t>
        </is>
      </c>
      <c r="H64" s="5" t="inlineStr">
        <is>
          <t>—</t>
        </is>
      </c>
      <c r="I64" s="5" t="inlineStr">
        <is>
          <t>Table lists payments with date, tenant, type, status, amount. Filters by date range and status work.</t>
        </is>
      </c>
      <c r="J64" s="5" t="inlineStr"/>
      <c r="K64" s="5" t="inlineStr">
        <is>
          <t>Not Run</t>
        </is>
      </c>
      <c r="L64" s="5" t="inlineStr"/>
      <c r="M64" s="5" t="inlineStr"/>
      <c r="N64" s="5" t="inlineStr"/>
      <c r="O64" s="5" t="inlineStr"/>
      <c r="P64" s="5" t="inlineStr"/>
    </row>
    <row r="65" ht="48" customHeight="1">
      <c r="A65" s="19" t="inlineStr">
        <is>
          <t>APAY-002</t>
        </is>
      </c>
      <c r="B65" s="19" t="inlineStr">
        <is>
          <t>Admin / Payments</t>
        </is>
      </c>
      <c r="C65" s="19" t="inlineStr">
        <is>
          <t>Export</t>
        </is>
      </c>
      <c r="D65" s="19" t="inlineStr">
        <is>
          <t>Medium</t>
        </is>
      </c>
      <c r="E65" s="19" t="inlineStr">
        <is>
          <t>Admin can export payments to CSV</t>
        </is>
      </c>
      <c r="F65" s="19" t="inlineStr">
        <is>
          <t>Payments list loaded with at least one row.</t>
        </is>
      </c>
      <c r="G65" s="19" t="inlineStr">
        <is>
          <t>1. Click Export CSV.</t>
        </is>
      </c>
      <c r="H65" s="19" t="inlineStr">
        <is>
          <t>—</t>
        </is>
      </c>
      <c r="I65" s="19" t="inlineStr">
        <is>
          <t>CSV download starts. File contains the filtered rows with all visible columns.</t>
        </is>
      </c>
      <c r="J65" s="19" t="inlineStr"/>
      <c r="K65" s="19" t="inlineStr">
        <is>
          <t>Not Run</t>
        </is>
      </c>
      <c r="L65" s="19" t="inlineStr"/>
      <c r="M65" s="19" t="inlineStr"/>
      <c r="N65" s="19" t="inlineStr"/>
      <c r="O65" s="19" t="inlineStr"/>
      <c r="P65" s="19" t="inlineStr"/>
    </row>
    <row r="66" ht="48" customHeight="1">
      <c r="A66" s="5" t="inlineStr">
        <is>
          <t>APAY-003</t>
        </is>
      </c>
      <c r="B66" s="5" t="inlineStr">
        <is>
          <t>Admin / Payments</t>
        </is>
      </c>
      <c r="C66" s="5" t="inlineStr">
        <is>
          <t>Transaction detail</t>
        </is>
      </c>
      <c r="D66" s="5" t="inlineStr">
        <is>
          <t>Medium</t>
        </is>
      </c>
      <c r="E66" s="5" t="inlineStr">
        <is>
          <t>Admin can view full payment record</t>
        </is>
      </c>
      <c r="F66" s="5" t="inlineStr">
        <is>
          <t>At least one successful card payment exists.</t>
        </is>
      </c>
      <c r="G66" s="5" t="inlineStr">
        <is>
          <t>1. Open a payment row.</t>
        </is>
      </c>
      <c r="H66" s="5" t="inlineStr">
        <is>
          <t>—</t>
        </is>
      </c>
      <c r="I66" s="5" t="inlineStr">
        <is>
          <t>Detail shows amount, status, Stripe PaymentIntent / Charge ID, line items, and links to refund and resend receipt.</t>
        </is>
      </c>
      <c r="J66" s="5" t="inlineStr"/>
      <c r="K66" s="5" t="inlineStr">
        <is>
          <t>Not Run</t>
        </is>
      </c>
      <c r="L66" s="5" t="inlineStr"/>
      <c r="M66" s="5" t="inlineStr"/>
      <c r="N66" s="5" t="inlineStr"/>
      <c r="O66" s="5" t="inlineStr"/>
      <c r="P66" s="5" t="inlineStr"/>
    </row>
    <row r="67" ht="48" customHeight="1">
      <c r="A67" s="19" t="inlineStr">
        <is>
          <t>APAY-004</t>
        </is>
      </c>
      <c r="B67" s="19" t="inlineStr">
        <is>
          <t>Admin / Payments</t>
        </is>
      </c>
      <c r="C67" s="19" t="inlineStr">
        <is>
          <t>Resend receipt</t>
        </is>
      </c>
      <c r="D67" s="19" t="inlineStr">
        <is>
          <t>Low</t>
        </is>
      </c>
      <c r="E67" s="19" t="inlineStr">
        <is>
          <t>Admin can resend a receipt to tenant</t>
        </is>
      </c>
      <c r="F67" s="19" t="inlineStr">
        <is>
          <t>Open a payment detail.</t>
        </is>
      </c>
      <c r="G67" s="19" t="inlineStr">
        <is>
          <t>1. Click Resend Receipt.</t>
        </is>
      </c>
      <c r="H67" s="19" t="inlineStr">
        <is>
          <t>—</t>
        </is>
      </c>
      <c r="I67" s="19" t="inlineStr">
        <is>
          <t>Confirmation displayed. Tenant inbox receives the receipt email.</t>
        </is>
      </c>
      <c r="J67" s="19" t="inlineStr"/>
      <c r="K67" s="19" t="inlineStr">
        <is>
          <t>Not Run</t>
        </is>
      </c>
      <c r="L67" s="19" t="inlineStr"/>
      <c r="M67" s="19" t="inlineStr"/>
      <c r="N67" s="19" t="inlineStr"/>
      <c r="O67" s="19" t="inlineStr"/>
      <c r="P67" s="19" t="inlineStr"/>
    </row>
    <row r="68" ht="52" customHeight="1">
      <c r="A68" s="5" t="inlineStr">
        <is>
          <t>ADEL-001</t>
        </is>
      </c>
      <c r="B68" s="5" t="inlineStr">
        <is>
          <t>Admin / Delinquency</t>
        </is>
      </c>
      <c r="C68" s="5" t="inlineStr">
        <is>
          <t>Dashboard</t>
        </is>
      </c>
      <c r="D68" s="5" t="inlineStr">
        <is>
          <t>High</t>
        </is>
      </c>
      <c r="E68" s="5" t="inlineStr">
        <is>
          <t>Delinquency dashboard summarises overdue accounts</t>
        </is>
      </c>
      <c r="F68" s="5" t="inlineStr">
        <is>
          <t>At least one delinquent tenant exists.</t>
        </is>
      </c>
      <c r="G68" s="5" t="inlineStr">
        <is>
          <t>1. Navigate to /admin/delinquency.</t>
        </is>
      </c>
      <c r="H68" s="5" t="inlineStr">
        <is>
          <t>—</t>
        </is>
      </c>
      <c r="I68" s="5" t="inlineStr">
        <is>
          <t>KPIs show counts by stage (Late, Locked Out, Pre-Lien). Table lists tenants with days overdue, balance, last payment, last contact.</t>
        </is>
      </c>
      <c r="J68" s="5" t="inlineStr"/>
      <c r="K68" s="5" t="inlineStr">
        <is>
          <t>Not Run</t>
        </is>
      </c>
      <c r="L68" s="5" t="inlineStr"/>
      <c r="M68" s="5" t="inlineStr"/>
      <c r="N68" s="5" t="inlineStr"/>
      <c r="O68" s="5" t="inlineStr"/>
      <c r="P68" s="5" t="inlineStr"/>
    </row>
    <row r="69" ht="48" customHeight="1">
      <c r="A69" s="19" t="inlineStr">
        <is>
          <t>ADEL-002</t>
        </is>
      </c>
      <c r="B69" s="19" t="inlineStr">
        <is>
          <t>Admin / Delinquency</t>
        </is>
      </c>
      <c r="C69" s="19" t="inlineStr">
        <is>
          <t>Bulk reminder</t>
        </is>
      </c>
      <c r="D69" s="19" t="inlineStr">
        <is>
          <t>Medium</t>
        </is>
      </c>
      <c r="E69" s="19" t="inlineStr">
        <is>
          <t>Admin can send reminder email in bulk</t>
        </is>
      </c>
      <c r="F69" s="19" t="inlineStr">
        <is>
          <t>Multiple delinquent tenants.</t>
        </is>
      </c>
      <c r="G69" s="19" t="inlineStr">
        <is>
          <t>1. Select 2+ tenants → Send Reminder.</t>
        </is>
      </c>
      <c r="H69" s="19" t="inlineStr">
        <is>
          <t>—</t>
        </is>
      </c>
      <c r="I69" s="19" t="inlineStr">
        <is>
          <t>Confirmation shown. Email logs recorded. Tenants receive reminder emails.</t>
        </is>
      </c>
      <c r="J69" s="19" t="inlineStr"/>
      <c r="K69" s="19" t="inlineStr">
        <is>
          <t>Not Run</t>
        </is>
      </c>
      <c r="L69" s="19" t="inlineStr"/>
      <c r="M69" s="19" t="inlineStr"/>
      <c r="N69" s="19" t="inlineStr"/>
      <c r="O69" s="19" t="inlineStr"/>
      <c r="P69" s="19" t="inlineStr"/>
    </row>
    <row r="70" ht="48" customHeight="1">
      <c r="A70" s="5" t="inlineStr">
        <is>
          <t>ADEL-003</t>
        </is>
      </c>
      <c r="B70" s="5" t="inlineStr">
        <is>
          <t>Admin / Delinquency</t>
        </is>
      </c>
      <c r="C70" s="5" t="inlineStr">
        <is>
          <t>Lockout</t>
        </is>
      </c>
      <c r="D70" s="5" t="inlineStr">
        <is>
          <t>Critical</t>
        </is>
      </c>
      <c r="E70" s="5" t="inlineStr">
        <is>
          <t>Admin can lock out a delinquent tenant</t>
        </is>
      </c>
      <c r="F70" s="5" t="inlineStr">
        <is>
          <t>Tenant past due, currently active.</t>
        </is>
      </c>
      <c r="G70" s="5" t="inlineStr">
        <is>
          <t>1. Select tenant → Issue Lockout.
2. Confirm.</t>
        </is>
      </c>
      <c r="H70" s="5" t="inlineStr">
        <is>
          <t>—</t>
        </is>
      </c>
      <c r="I70" s="5" t="inlineStr">
        <is>
          <t>Tenant status changes to Locked Out. Gate access revoked. Tenant receives lockout notification (per template).</t>
        </is>
      </c>
      <c r="J70" s="5" t="inlineStr"/>
      <c r="K70" s="5" t="inlineStr">
        <is>
          <t>Not Run</t>
        </is>
      </c>
      <c r="L70" s="5" t="inlineStr"/>
      <c r="M70" s="5" t="inlineStr"/>
      <c r="N70" s="5" t="inlineStr"/>
      <c r="O70" s="5" t="inlineStr"/>
      <c r="P70" s="5" t="inlineStr"/>
    </row>
    <row r="71" ht="48" customHeight="1">
      <c r="A71" s="19" t="inlineStr">
        <is>
          <t>ADEL-004</t>
        </is>
      </c>
      <c r="B71" s="19" t="inlineStr">
        <is>
          <t>Admin / Delinquency</t>
        </is>
      </c>
      <c r="C71" s="19" t="inlineStr">
        <is>
          <t>Release</t>
        </is>
      </c>
      <c r="D71" s="19" t="inlineStr">
        <is>
          <t>High</t>
        </is>
      </c>
      <c r="E71" s="19" t="inlineStr">
        <is>
          <t>Admin can release a tenant from lockout after payment</t>
        </is>
      </c>
      <c r="F71" s="19" t="inlineStr">
        <is>
          <t>Locked-out tenant whose balance is now $0.</t>
        </is>
      </c>
      <c r="G71" s="19" t="inlineStr">
        <is>
          <t>1. Select tenant → Release / Unlock.</t>
        </is>
      </c>
      <c r="H71" s="19" t="inlineStr">
        <is>
          <t>—</t>
        </is>
      </c>
      <c r="I71" s="19" t="inlineStr">
        <is>
          <t>Status returns to Active. Gate access restored. Tenant can sign in and access portal normally.</t>
        </is>
      </c>
      <c r="J71" s="19" t="inlineStr"/>
      <c r="K71" s="19" t="inlineStr">
        <is>
          <t>Not Run</t>
        </is>
      </c>
      <c r="L71" s="19" t="inlineStr"/>
      <c r="M71" s="19" t="inlineStr"/>
      <c r="N71" s="19" t="inlineStr"/>
      <c r="O71" s="19" t="inlineStr"/>
      <c r="P71" s="19" t="inlineStr"/>
    </row>
    <row r="72" ht="48" customHeight="1">
      <c r="A72" s="5" t="inlineStr">
        <is>
          <t>ADEL-005</t>
        </is>
      </c>
      <c r="B72" s="5" t="inlineStr">
        <is>
          <t>Admin / Delinquency</t>
        </is>
      </c>
      <c r="C72" s="5" t="inlineStr">
        <is>
          <t>Lien notice</t>
        </is>
      </c>
      <c r="D72" s="5" t="inlineStr">
        <is>
          <t>High</t>
        </is>
      </c>
      <c r="E72" s="5" t="inlineStr">
        <is>
          <t>Admin can issue lien notice</t>
        </is>
      </c>
      <c r="F72" s="5" t="inlineStr">
        <is>
          <t>Tenant locked out for configured days.</t>
        </is>
      </c>
      <c r="G72" s="5" t="inlineStr">
        <is>
          <t>1. Select tenant → Issue Lien.</t>
        </is>
      </c>
      <c r="H72" s="5" t="inlineStr">
        <is>
          <t>—</t>
        </is>
      </c>
      <c r="I72" s="5" t="inlineStr">
        <is>
          <t>Tenant moves to Pre-Lien stage. Lien notice sent per template. Audit entry recorded.</t>
        </is>
      </c>
      <c r="J72" s="5" t="inlineStr"/>
      <c r="K72" s="5" t="inlineStr">
        <is>
          <t>Not Run</t>
        </is>
      </c>
      <c r="L72" s="5" t="inlineStr"/>
      <c r="M72" s="5" t="inlineStr"/>
      <c r="N72" s="5" t="inlineStr"/>
      <c r="O72" s="5" t="inlineStr"/>
      <c r="P72" s="5" t="inlineStr"/>
    </row>
    <row r="73" ht="48" customHeight="1">
      <c r="A73" s="19" t="inlineStr">
        <is>
          <t>ADEL-006</t>
        </is>
      </c>
      <c r="B73" s="19" t="inlineStr">
        <is>
          <t>Admin / Delinquency</t>
        </is>
      </c>
      <c r="C73" s="19" t="inlineStr">
        <is>
          <t>Auction schedule</t>
        </is>
      </c>
      <c r="D73" s="19" t="inlineStr">
        <is>
          <t>Medium</t>
        </is>
      </c>
      <c r="E73" s="19" t="inlineStr">
        <is>
          <t>Admin can schedule an auction date</t>
        </is>
      </c>
      <c r="F73" s="19" t="inlineStr">
        <is>
          <t>Tenant in Lien stage.</t>
        </is>
      </c>
      <c r="G73" s="19" t="inlineStr">
        <is>
          <t>1. Select tenant → Schedule Auction → pick date.</t>
        </is>
      </c>
      <c r="H73" s="19" t="inlineStr">
        <is>
          <t>Date 14 days out</t>
        </is>
      </c>
      <c r="I73" s="19" t="inlineStr">
        <is>
          <t>Auction date recorded. Tenant receives auction notice. Date visible on tenant detail.</t>
        </is>
      </c>
      <c r="J73" s="19" t="inlineStr"/>
      <c r="K73" s="19" t="inlineStr">
        <is>
          <t>Not Run</t>
        </is>
      </c>
      <c r="L73" s="19" t="inlineStr"/>
      <c r="M73" s="19" t="inlineStr"/>
      <c r="N73" s="19" t="inlineStr"/>
      <c r="O73" s="19" t="inlineStr"/>
      <c r="P73" s="19" t="inlineStr"/>
    </row>
    <row r="74" ht="48" customHeight="1">
      <c r="A74" s="5" t="inlineStr">
        <is>
          <t>AREP-001</t>
        </is>
      </c>
      <c r="B74" s="5" t="inlineStr">
        <is>
          <t>Admin / Reports</t>
        </is>
      </c>
      <c r="C74" s="5" t="inlineStr">
        <is>
          <t>Hub</t>
        </is>
      </c>
      <c r="D74" s="5" t="inlineStr">
        <is>
          <t>Medium</t>
        </is>
      </c>
      <c r="E74" s="5" t="inlineStr">
        <is>
          <t>Reports hub loads all report categories</t>
        </is>
      </c>
      <c r="F74" s="5" t="inlineStr">
        <is>
          <t>—</t>
        </is>
      </c>
      <c r="G74" s="5" t="inlineStr">
        <is>
          <t>1. Navigate to /admin/reports.</t>
        </is>
      </c>
      <c r="H74" s="5" t="inlineStr">
        <is>
          <t>—</t>
        </is>
      </c>
      <c r="I74" s="5" t="inlineStr">
        <is>
          <t>All report cards/links are present (Accounting, Customers, Payments, Facility).</t>
        </is>
      </c>
      <c r="J74" s="5" t="inlineStr"/>
      <c r="K74" s="5" t="inlineStr">
        <is>
          <t>Not Run</t>
        </is>
      </c>
      <c r="L74" s="5" t="inlineStr"/>
      <c r="M74" s="5" t="inlineStr"/>
      <c r="N74" s="5" t="inlineStr"/>
      <c r="O74" s="5" t="inlineStr"/>
      <c r="P74" s="5" t="inlineStr"/>
    </row>
    <row r="75" ht="48" customHeight="1">
      <c r="A75" s="19" t="inlineStr">
        <is>
          <t>AREP-002</t>
        </is>
      </c>
      <c r="B75" s="19" t="inlineStr">
        <is>
          <t>Admin / Reports</t>
        </is>
      </c>
      <c r="C75" s="19" t="inlineStr">
        <is>
          <t>Rent roll</t>
        </is>
      </c>
      <c r="D75" s="19" t="inlineStr">
        <is>
          <t>High</t>
        </is>
      </c>
      <c r="E75" s="19" t="inlineStr">
        <is>
          <t>Rent roll report lists active leases with rates</t>
        </is>
      </c>
      <c r="F75" s="19" t="inlineStr">
        <is>
          <t>Active leases exist.</t>
        </is>
      </c>
      <c r="G75" s="19" t="inlineStr">
        <is>
          <t>1. Open Rent Roll report.</t>
        </is>
      </c>
      <c r="H75" s="19" t="inlineStr">
        <is>
          <t>—</t>
        </is>
      </c>
      <c r="I75" s="19" t="inlineStr">
        <is>
          <t>Report shows unit, tenant, monthly rate, billing day, balance. Total at the bottom matches sum.</t>
        </is>
      </c>
      <c r="J75" s="19" t="inlineStr"/>
      <c r="K75" s="19" t="inlineStr">
        <is>
          <t>Not Run</t>
        </is>
      </c>
      <c r="L75" s="19" t="inlineStr"/>
      <c r="M75" s="19" t="inlineStr"/>
      <c r="N75" s="19" t="inlineStr"/>
      <c r="O75" s="19" t="inlineStr"/>
      <c r="P75" s="19" t="inlineStr"/>
    </row>
    <row r="76" ht="48" customHeight="1">
      <c r="A76" s="5" t="inlineStr">
        <is>
          <t>AREP-003</t>
        </is>
      </c>
      <c r="B76" s="5" t="inlineStr">
        <is>
          <t>Admin / Reports</t>
        </is>
      </c>
      <c r="C76" s="5" t="inlineStr">
        <is>
          <t>Occupancy</t>
        </is>
      </c>
      <c r="D76" s="5" t="inlineStr">
        <is>
          <t>Medium</t>
        </is>
      </c>
      <c r="E76" s="5" t="inlineStr">
        <is>
          <t>Occupancy report shows current occupancy %</t>
        </is>
      </c>
      <c r="F76" s="5" t="inlineStr">
        <is>
          <t>Units exist in multiple statuses.</t>
        </is>
      </c>
      <c r="G76" s="5" t="inlineStr">
        <is>
          <t>1. Open Occupancy report.</t>
        </is>
      </c>
      <c r="H76" s="5" t="inlineStr">
        <is>
          <t>—</t>
        </is>
      </c>
      <c r="I76" s="5" t="inlineStr">
        <is>
          <t>Occupancy % shown. Breakdown by unit type listed.</t>
        </is>
      </c>
      <c r="J76" s="5" t="inlineStr"/>
      <c r="K76" s="5" t="inlineStr">
        <is>
          <t>Not Run</t>
        </is>
      </c>
      <c r="L76" s="5" t="inlineStr"/>
      <c r="M76" s="5" t="inlineStr"/>
      <c r="N76" s="5" t="inlineStr"/>
      <c r="O76" s="5" t="inlineStr"/>
      <c r="P76" s="5" t="inlineStr"/>
    </row>
    <row r="77" ht="52" customHeight="1">
      <c r="A77" s="19" t="inlineStr">
        <is>
          <t>AREP-004</t>
        </is>
      </c>
      <c r="B77" s="19" t="inlineStr">
        <is>
          <t>Admin / Reports</t>
        </is>
      </c>
      <c r="C77" s="19" t="inlineStr">
        <is>
          <t>Gate activity</t>
        </is>
      </c>
      <c r="D77" s="19" t="inlineStr">
        <is>
          <t>Critical</t>
        </is>
      </c>
      <c r="E77" s="19" t="inlineStr">
        <is>
          <t>Gate activity report lists access events</t>
        </is>
      </c>
      <c r="F77" s="19" t="inlineStr">
        <is>
          <t>Recent gate events exist (real or simulated).</t>
        </is>
      </c>
      <c r="G77" s="19" t="inlineStr">
        <is>
          <t>1. Open /admin/reports/gate-activity.
2. Filter date range.</t>
        </is>
      </c>
      <c r="H77" s="19" t="inlineStr">
        <is>
          <t>Last 7 days</t>
        </is>
      </c>
      <c r="I77" s="19" t="inlineStr">
        <is>
          <t>Events list shows timestamp, tenant or visitor, device, source (keypad, sms, app), result. Visitor pass events show visitor attribution.</t>
        </is>
      </c>
      <c r="J77" s="19" t="inlineStr"/>
      <c r="K77" s="19" t="inlineStr">
        <is>
          <t>Not Run</t>
        </is>
      </c>
      <c r="L77" s="19" t="inlineStr"/>
      <c r="M77" s="19" t="inlineStr"/>
      <c r="N77" s="19" t="inlineStr"/>
      <c r="O77" s="19" t="inlineStr"/>
      <c r="P77" s="19" t="inlineStr"/>
    </row>
    <row r="78" ht="48" customHeight="1">
      <c r="A78" s="5" t="inlineStr">
        <is>
          <t>AREP-005</t>
        </is>
      </c>
      <c r="B78" s="5" t="inlineStr">
        <is>
          <t>Admin / Reports</t>
        </is>
      </c>
      <c r="C78" s="5" t="inlineStr">
        <is>
          <t>Move-in / move-out</t>
        </is>
      </c>
      <c r="D78" s="5" t="inlineStr">
        <is>
          <t>Medium</t>
        </is>
      </c>
      <c r="E78" s="5" t="inlineStr">
        <is>
          <t>Move-in/out report lists recent events</t>
        </is>
      </c>
      <c r="F78" s="5" t="inlineStr">
        <is>
          <t>Recent move-ins and move-outs exist.</t>
        </is>
      </c>
      <c r="G78" s="5" t="inlineStr">
        <is>
          <t>1. Open the Move In/Out report.</t>
        </is>
      </c>
      <c r="H78" s="5" t="inlineStr">
        <is>
          <t>Last 30 days</t>
        </is>
      </c>
      <c r="I78" s="5" t="inlineStr">
        <is>
          <t>Move-in rows show tenant, unit, date, lease start. Move-out rows show tenant, unit, date, final balance.</t>
        </is>
      </c>
      <c r="J78" s="5" t="inlineStr"/>
      <c r="K78" s="5" t="inlineStr">
        <is>
          <t>Not Run</t>
        </is>
      </c>
      <c r="L78" s="5" t="inlineStr"/>
      <c r="M78" s="5" t="inlineStr"/>
      <c r="N78" s="5" t="inlineStr"/>
      <c r="O78" s="5" t="inlineStr"/>
      <c r="P78" s="5" t="inlineStr"/>
    </row>
    <row r="79" ht="48" customHeight="1">
      <c r="A79" s="19" t="inlineStr">
        <is>
          <t>AREP-006</t>
        </is>
      </c>
      <c r="B79" s="19" t="inlineStr">
        <is>
          <t>Admin / Reports</t>
        </is>
      </c>
      <c r="C79" s="19" t="inlineStr">
        <is>
          <t>Failed payments</t>
        </is>
      </c>
      <c r="D79" s="19" t="inlineStr">
        <is>
          <t>High</t>
        </is>
      </c>
      <c r="E79" s="19" t="inlineStr">
        <is>
          <t>Failed payments report lists declines</t>
        </is>
      </c>
      <c r="F79" s="19" t="inlineStr">
        <is>
          <t>At least one failed Stripe charge exists.</t>
        </is>
      </c>
      <c r="G79" s="19" t="inlineStr">
        <is>
          <t>1. Open Failed/Declined Payments report.</t>
        </is>
      </c>
      <c r="H79" s="19" t="inlineStr">
        <is>
          <t>—</t>
        </is>
      </c>
      <c r="I79" s="19" t="inlineStr">
        <is>
          <t>Declined rows show tenant, attempt date, amount, decline reason.</t>
        </is>
      </c>
      <c r="J79" s="19" t="inlineStr"/>
      <c r="K79" s="19" t="inlineStr">
        <is>
          <t>Not Run</t>
        </is>
      </c>
      <c r="L79" s="19" t="inlineStr"/>
      <c r="M79" s="19" t="inlineStr"/>
      <c r="N79" s="19" t="inlineStr"/>
      <c r="O79" s="19" t="inlineStr"/>
      <c r="P79" s="19" t="inlineStr"/>
    </row>
    <row r="80" ht="48" customHeight="1">
      <c r="A80" s="5" t="inlineStr">
        <is>
          <t>AREP-007</t>
        </is>
      </c>
      <c r="B80" s="5" t="inlineStr">
        <is>
          <t>Admin / Reports</t>
        </is>
      </c>
      <c r="C80" s="5" t="inlineStr">
        <is>
          <t>Lockouts</t>
        </is>
      </c>
      <c r="D80" s="5" t="inlineStr">
        <is>
          <t>Medium</t>
        </is>
      </c>
      <c r="E80" s="5" t="inlineStr">
        <is>
          <t>Lockouts report lists lockout events with approval state</t>
        </is>
      </c>
      <c r="F80" s="5" t="inlineStr">
        <is>
          <t>At least one lockout event exists.</t>
        </is>
      </c>
      <c r="G80" s="5" t="inlineStr">
        <is>
          <t>1. Open /admin/reports/lock-out.</t>
        </is>
      </c>
      <c r="H80" s="5" t="inlineStr">
        <is>
          <t>—</t>
        </is>
      </c>
      <c r="I80" s="5" t="inlineStr">
        <is>
          <t>Events list with status (pending/approved/executed) shown. Approval actions function (if approval workflow enabled).</t>
        </is>
      </c>
      <c r="J80" s="5" t="inlineStr"/>
      <c r="K80" s="5" t="inlineStr">
        <is>
          <t>Not Run</t>
        </is>
      </c>
      <c r="L80" s="5" t="inlineStr"/>
      <c r="M80" s="5" t="inlineStr"/>
      <c r="N80" s="5" t="inlineStr"/>
      <c r="O80" s="5" t="inlineStr"/>
      <c r="P80" s="5" t="inlineStr"/>
    </row>
    <row r="81" ht="48" customHeight="1">
      <c r="A81" s="19" t="inlineStr">
        <is>
          <t>AREP-008</t>
        </is>
      </c>
      <c r="B81" s="19" t="inlineStr">
        <is>
          <t>Admin / Reports</t>
        </is>
      </c>
      <c r="C81" s="19" t="inlineStr">
        <is>
          <t>CSV export</t>
        </is>
      </c>
      <c r="D81" s="19" t="inlineStr">
        <is>
          <t>Medium</t>
        </is>
      </c>
      <c r="E81" s="19" t="inlineStr">
        <is>
          <t>Reports can be exported to CSV</t>
        </is>
      </c>
      <c r="F81" s="19" t="inlineStr">
        <is>
          <t>Any report open with data.</t>
        </is>
      </c>
      <c r="G81" s="19" t="inlineStr">
        <is>
          <t>1. Click Export CSV.</t>
        </is>
      </c>
      <c r="H81" s="19" t="inlineStr">
        <is>
          <t>—</t>
        </is>
      </c>
      <c r="I81" s="19" t="inlineStr">
        <is>
          <t>Download starts. File matches the visible rows.</t>
        </is>
      </c>
      <c r="J81" s="19" t="inlineStr"/>
      <c r="K81" s="19" t="inlineStr">
        <is>
          <t>Not Run</t>
        </is>
      </c>
      <c r="L81" s="19" t="inlineStr"/>
      <c r="M81" s="19" t="inlineStr"/>
      <c r="N81" s="19" t="inlineStr"/>
      <c r="O81" s="19" t="inlineStr"/>
      <c r="P81" s="19" t="inlineStr"/>
    </row>
    <row r="82" ht="48" customHeight="1">
      <c r="A82" s="5" t="inlineStr">
        <is>
          <t>ASET-001</t>
        </is>
      </c>
      <c r="B82" s="5" t="inlineStr">
        <is>
          <t>Admin / Settings</t>
        </is>
      </c>
      <c r="C82" s="5" t="inlineStr">
        <is>
          <t>General</t>
        </is>
      </c>
      <c r="D82" s="5" t="inlineStr">
        <is>
          <t>High</t>
        </is>
      </c>
      <c r="E82" s="5" t="inlineStr">
        <is>
          <t>Admin can edit general settings</t>
        </is>
      </c>
      <c r="F82" s="5" t="inlineStr">
        <is>
          <t>Logged in as admin.</t>
        </is>
      </c>
      <c r="G82" s="5" t="inlineStr">
        <is>
          <t>1. Navigate to /admin/settings/general.
2. Edit timezone or date format.
3. Save.</t>
        </is>
      </c>
      <c r="H82" s="5" t="inlineStr">
        <is>
          <t>Timezone America/New_York</t>
        </is>
      </c>
      <c r="I82" s="5" t="inlineStr">
        <is>
          <t>Change persists. Other pages reflect the new locale settings.</t>
        </is>
      </c>
      <c r="J82" s="5" t="inlineStr"/>
      <c r="K82" s="5" t="inlineStr">
        <is>
          <t>Not Run</t>
        </is>
      </c>
      <c r="L82" s="5" t="inlineStr"/>
      <c r="M82" s="5" t="inlineStr"/>
      <c r="N82" s="5" t="inlineStr"/>
      <c r="O82" s="5" t="inlineStr"/>
      <c r="P82" s="5" t="inlineStr"/>
    </row>
    <row r="83" ht="48" customHeight="1">
      <c r="A83" s="19" t="inlineStr">
        <is>
          <t>ASET-002</t>
        </is>
      </c>
      <c r="B83" s="19" t="inlineStr">
        <is>
          <t>Admin / Settings</t>
        </is>
      </c>
      <c r="C83" s="19" t="inlineStr">
        <is>
          <t>Facility</t>
        </is>
      </c>
      <c r="D83" s="19" t="inlineStr">
        <is>
          <t>High</t>
        </is>
      </c>
      <c r="E83" s="19" t="inlineStr">
        <is>
          <t>Admin can edit facility info and access hours</t>
        </is>
      </c>
      <c r="F83" s="19" t="inlineStr">
        <is>
          <t>—</t>
        </is>
      </c>
      <c r="G83" s="19" t="inlineStr">
        <is>
          <t>1. /admin/settings/facility.
2. Change access hours and save.</t>
        </is>
      </c>
      <c r="H83" s="19" t="inlineStr">
        <is>
          <t>Hours 06:00–22:00</t>
        </is>
      </c>
      <c r="I83" s="19" t="inlineStr">
        <is>
          <t>Change persists. PDK group sync (if enabled) re-pushes the new schedule to entry rule.</t>
        </is>
      </c>
      <c r="J83" s="19" t="inlineStr"/>
      <c r="K83" s="19" t="inlineStr">
        <is>
          <t>Not Run</t>
        </is>
      </c>
      <c r="L83" s="19" t="inlineStr"/>
      <c r="M83" s="19" t="inlineStr"/>
      <c r="N83" s="19" t="inlineStr"/>
      <c r="O83" s="19" t="inlineStr"/>
      <c r="P83" s="19" t="inlineStr"/>
    </row>
    <row r="84" ht="48" customHeight="1">
      <c r="A84" s="5" t="inlineStr">
        <is>
          <t>ASET-003</t>
        </is>
      </c>
      <c r="B84" s="5" t="inlineStr">
        <is>
          <t>Admin / Settings</t>
        </is>
      </c>
      <c r="C84" s="5" t="inlineStr">
        <is>
          <t>Fees</t>
        </is>
      </c>
      <c r="D84" s="5" t="inlineStr">
        <is>
          <t>High</t>
        </is>
      </c>
      <c r="E84" s="5" t="inlineStr">
        <is>
          <t>Admin can edit late, NSF, auction fees</t>
        </is>
      </c>
      <c r="F84" s="5" t="inlineStr">
        <is>
          <t>—</t>
        </is>
      </c>
      <c r="G84" s="5" t="inlineStr">
        <is>
          <t>1. /admin/settings/fees.
2. Change late fee amount.
3. Save.</t>
        </is>
      </c>
      <c r="H84" s="5" t="inlineStr">
        <is>
          <t>Late fee $20</t>
        </is>
      </c>
      <c r="I84" s="5" t="inlineStr">
        <is>
          <t>Change persists. New late fees added by delinquency job use the new amount.</t>
        </is>
      </c>
      <c r="J84" s="5" t="inlineStr"/>
      <c r="K84" s="5" t="inlineStr">
        <is>
          <t>Not Run</t>
        </is>
      </c>
      <c r="L84" s="5" t="inlineStr"/>
      <c r="M84" s="5" t="inlineStr"/>
      <c r="N84" s="5" t="inlineStr"/>
      <c r="O84" s="5" t="inlineStr"/>
      <c r="P84" s="5" t="inlineStr"/>
    </row>
    <row r="85" ht="48" customHeight="1">
      <c r="A85" s="19" t="inlineStr">
        <is>
          <t>ASET-004</t>
        </is>
      </c>
      <c r="B85" s="19" t="inlineStr">
        <is>
          <t>Admin / Settings</t>
        </is>
      </c>
      <c r="C85" s="19" t="inlineStr">
        <is>
          <t>Rental</t>
        </is>
      </c>
      <c r="D85" s="19" t="inlineStr">
        <is>
          <t>Medium</t>
        </is>
      </c>
      <c r="E85" s="19" t="inlineStr">
        <is>
          <t>Admin can edit billing cycle anchor</t>
        </is>
      </c>
      <c r="F85" s="19" t="inlineStr">
        <is>
          <t>—</t>
        </is>
      </c>
      <c r="G85" s="19" t="inlineStr">
        <is>
          <t>1. /admin/settings/rental.
2. Change anchor to 'signup day'.
3. Save.</t>
        </is>
      </c>
      <c r="H85" s="19" t="inlineStr">
        <is>
          <t>—</t>
        </is>
      </c>
      <c r="I85" s="19" t="inlineStr">
        <is>
          <t>Change persists. New leases use the new anchor for invoice generation.</t>
        </is>
      </c>
      <c r="J85" s="19" t="inlineStr"/>
      <c r="K85" s="19" t="inlineStr">
        <is>
          <t>Not Run</t>
        </is>
      </c>
      <c r="L85" s="19" t="inlineStr"/>
      <c r="M85" s="19" t="inlineStr"/>
      <c r="N85" s="19" t="inlineStr"/>
      <c r="O85" s="19" t="inlineStr"/>
      <c r="P85" s="19" t="inlineStr"/>
    </row>
    <row r="86" ht="48" customHeight="1">
      <c r="A86" s="5" t="inlineStr">
        <is>
          <t>ASET-005</t>
        </is>
      </c>
      <c r="B86" s="5" t="inlineStr">
        <is>
          <t>Admin / Settings</t>
        </is>
      </c>
      <c r="C86" s="5" t="inlineStr">
        <is>
          <t>Agreement</t>
        </is>
      </c>
      <c r="D86" s="5" t="inlineStr">
        <is>
          <t>Medium</t>
        </is>
      </c>
      <c r="E86" s="5" t="inlineStr">
        <is>
          <t>Admin can edit agreement template</t>
        </is>
      </c>
      <c r="F86" s="5" t="inlineStr">
        <is>
          <t>—</t>
        </is>
      </c>
      <c r="G86" s="5" t="inlineStr">
        <is>
          <t>1. /admin/settings/agreement.
2. Make a small text change.
3. Save.</t>
        </is>
      </c>
      <c r="H86" s="5" t="inlineStr">
        <is>
          <t>—</t>
        </is>
      </c>
      <c r="I86" s="5" t="inlineStr">
        <is>
          <t>Change persists. New move-ins display the updated agreement on the e-sign step.</t>
        </is>
      </c>
      <c r="J86" s="5" t="inlineStr"/>
      <c r="K86" s="5" t="inlineStr">
        <is>
          <t>Not Run</t>
        </is>
      </c>
      <c r="L86" s="5" t="inlineStr"/>
      <c r="M86" s="5" t="inlineStr"/>
      <c r="N86" s="5" t="inlineStr"/>
      <c r="O86" s="5" t="inlineStr"/>
      <c r="P86" s="5" t="inlineStr"/>
    </row>
    <row r="87" ht="48" customHeight="1">
      <c r="A87" s="19" t="inlineStr">
        <is>
          <t>ASET-006</t>
        </is>
      </c>
      <c r="B87" s="19" t="inlineStr">
        <is>
          <t>Admin / Settings</t>
        </is>
      </c>
      <c r="C87" s="19" t="inlineStr">
        <is>
          <t>Agreement</t>
        </is>
      </c>
      <c r="D87" s="19" t="inlineStr">
        <is>
          <t>Low</t>
        </is>
      </c>
      <c r="E87" s="19" t="inlineStr">
        <is>
          <t>Image upload in agreement editor works (R2)</t>
        </is>
      </c>
      <c r="F87" s="19" t="inlineStr">
        <is>
          <t>On agreement editor.</t>
        </is>
      </c>
      <c r="G87" s="19" t="inlineStr">
        <is>
          <t>1. Insert image → upload a JPG.</t>
        </is>
      </c>
      <c r="H87" s="19" t="inlineStr">
        <is>
          <t>Any small JPG / PNG</t>
        </is>
      </c>
      <c r="I87" s="19" t="inlineStr">
        <is>
          <t>Image uploads to Cloudflare R2. URL becomes accessible. Image renders in saved agreement.</t>
        </is>
      </c>
      <c r="J87" s="19" t="inlineStr"/>
      <c r="K87" s="19" t="inlineStr">
        <is>
          <t>Not Run</t>
        </is>
      </c>
      <c r="L87" s="19" t="inlineStr"/>
      <c r="M87" s="19" t="inlineStr"/>
      <c r="N87" s="19" t="inlineStr"/>
      <c r="O87" s="19" t="inlineStr"/>
      <c r="P87" s="19" t="inlineStr"/>
    </row>
    <row r="88" ht="48" customHeight="1">
      <c r="A88" s="5" t="inlineStr">
        <is>
          <t>ASET-007</t>
        </is>
      </c>
      <c r="B88" s="5" t="inlineStr">
        <is>
          <t>Admin / Settings</t>
        </is>
      </c>
      <c r="C88" s="5" t="inlineStr">
        <is>
          <t>Form fields</t>
        </is>
      </c>
      <c r="D88" s="5" t="inlineStr">
        <is>
          <t>Low</t>
        </is>
      </c>
      <c r="E88" s="5" t="inlineStr">
        <is>
          <t>Admin can toggle field visibility on signup form</t>
        </is>
      </c>
      <c r="F88" s="5" t="inlineStr">
        <is>
          <t>—</t>
        </is>
      </c>
      <c r="G88" s="5" t="inlineStr">
        <is>
          <t>1. /admin/settings/form-fields.
2. Hide 'Driver's License' from signup.
3. Save.
4. Open public move-in flow.</t>
        </is>
      </c>
      <c r="H88" s="5" t="inlineStr">
        <is>
          <t>—</t>
        </is>
      </c>
      <c r="I88" s="5" t="inlineStr">
        <is>
          <t>DL field is no longer required on signup.</t>
        </is>
      </c>
      <c r="J88" s="5" t="inlineStr"/>
      <c r="K88" s="5" t="inlineStr">
        <is>
          <t>Not Run</t>
        </is>
      </c>
      <c r="L88" s="5" t="inlineStr"/>
      <c r="M88" s="5" t="inlineStr"/>
      <c r="N88" s="5" t="inlineStr"/>
      <c r="O88" s="5" t="inlineStr"/>
      <c r="P88" s="5" t="inlineStr"/>
    </row>
    <row r="89" ht="48" customHeight="1">
      <c r="A89" s="19" t="inlineStr">
        <is>
          <t>ASET-008</t>
        </is>
      </c>
      <c r="B89" s="19" t="inlineStr">
        <is>
          <t>Admin / Settings</t>
        </is>
      </c>
      <c r="C89" s="19" t="inlineStr">
        <is>
          <t>Late/Lien</t>
        </is>
      </c>
      <c r="D89" s="19" t="inlineStr">
        <is>
          <t>High</t>
        </is>
      </c>
      <c r="E89" s="19" t="inlineStr">
        <is>
          <t>Admin can configure escalation days</t>
        </is>
      </c>
      <c r="F89" s="19" t="inlineStr">
        <is>
          <t>—</t>
        </is>
      </c>
      <c r="G89" s="19" t="inlineStr">
        <is>
          <t>1. /admin/settings/late-lien.
2. Change 'Days past due → Locked out' to 15.
3. Save.</t>
        </is>
      </c>
      <c r="H89" s="19" t="inlineStr">
        <is>
          <t>—</t>
        </is>
      </c>
      <c r="I89" s="19" t="inlineStr">
        <is>
          <t>Change persists. Delinquency job uses the new value.</t>
        </is>
      </c>
      <c r="J89" s="19" t="inlineStr"/>
      <c r="K89" s="19" t="inlineStr">
        <is>
          <t>Not Run</t>
        </is>
      </c>
      <c r="L89" s="19" t="inlineStr"/>
      <c r="M89" s="19" t="inlineStr"/>
      <c r="N89" s="19" t="inlineStr"/>
      <c r="O89" s="19" t="inlineStr"/>
      <c r="P89" s="19" t="inlineStr"/>
    </row>
    <row r="90" ht="48" customHeight="1">
      <c r="A90" s="5" t="inlineStr">
        <is>
          <t>ASET-009</t>
        </is>
      </c>
      <c r="B90" s="5" t="inlineStr">
        <is>
          <t>Admin / Settings</t>
        </is>
      </c>
      <c r="C90" s="5" t="inlineStr">
        <is>
          <t>Communications</t>
        </is>
      </c>
      <c r="D90" s="5" t="inlineStr">
        <is>
          <t>Medium</t>
        </is>
      </c>
      <c r="E90" s="5" t="inlineStr">
        <is>
          <t>Admin can change from-email and reply-to</t>
        </is>
      </c>
      <c r="F90" s="5" t="inlineStr">
        <is>
          <t>—</t>
        </is>
      </c>
      <c r="G90" s="5" t="inlineStr">
        <is>
          <t>1. /admin/communications/settings.
2. Change from-name.
3. Save.
4. Trigger a test email.</t>
        </is>
      </c>
      <c r="H90" s="5" t="inlineStr">
        <is>
          <t>—</t>
        </is>
      </c>
      <c r="I90" s="5" t="inlineStr">
        <is>
          <t>Updated from-name appears in subsequent emails.</t>
        </is>
      </c>
      <c r="J90" s="5" t="inlineStr"/>
      <c r="K90" s="5" t="inlineStr">
        <is>
          <t>Not Run</t>
        </is>
      </c>
      <c r="L90" s="5" t="inlineStr"/>
      <c r="M90" s="5" t="inlineStr"/>
      <c r="N90" s="5" t="inlineStr"/>
      <c r="O90" s="5" t="inlineStr"/>
      <c r="P90" s="5" t="inlineStr"/>
    </row>
    <row r="91" ht="48" customHeight="1">
      <c r="A91" s="19" t="inlineStr">
        <is>
          <t>ACOM-001</t>
        </is>
      </c>
      <c r="B91" s="19" t="inlineStr">
        <is>
          <t>Admin / Communications</t>
        </is>
      </c>
      <c r="C91" s="19" t="inlineStr">
        <is>
          <t>Templates list</t>
        </is>
      </c>
      <c r="D91" s="19" t="inlineStr">
        <is>
          <t>Medium</t>
        </is>
      </c>
      <c r="E91" s="19" t="inlineStr">
        <is>
          <t>Templates page lists system and custom templates</t>
        </is>
      </c>
      <c r="F91" s="19" t="inlineStr">
        <is>
          <t>—</t>
        </is>
      </c>
      <c r="G91" s="19" t="inlineStr">
        <is>
          <t>1. /admin/communications/templates.</t>
        </is>
      </c>
      <c r="H91" s="19" t="inlineStr">
        <is>
          <t>—</t>
        </is>
      </c>
      <c r="I91" s="19" t="inlineStr">
        <is>
          <t>All default templates (receipt, late, lockout, lien, etc.) listed with channel toggles.</t>
        </is>
      </c>
      <c r="J91" s="19" t="inlineStr"/>
      <c r="K91" s="19" t="inlineStr">
        <is>
          <t>Not Run</t>
        </is>
      </c>
      <c r="L91" s="19" t="inlineStr"/>
      <c r="M91" s="19" t="inlineStr"/>
      <c r="N91" s="19" t="inlineStr"/>
      <c r="O91" s="19" t="inlineStr"/>
      <c r="P91" s="19" t="inlineStr"/>
    </row>
    <row r="92" ht="48" customHeight="1">
      <c r="A92" s="5" t="inlineStr">
        <is>
          <t>ACOM-002</t>
        </is>
      </c>
      <c r="B92" s="5" t="inlineStr">
        <is>
          <t>Admin / Communications</t>
        </is>
      </c>
      <c r="C92" s="5" t="inlineStr">
        <is>
          <t>Template edit</t>
        </is>
      </c>
      <c r="D92" s="5" t="inlineStr">
        <is>
          <t>High</t>
        </is>
      </c>
      <c r="E92" s="5" t="inlineStr">
        <is>
          <t>Admin can edit a template body and subject</t>
        </is>
      </c>
      <c r="F92" s="5" t="inlineStr">
        <is>
          <t>Open the Late Notice template.</t>
        </is>
      </c>
      <c r="G92" s="5" t="inlineStr">
        <is>
          <t>1. Change subject and body.
2. Save.
3. Trigger a late notice.</t>
        </is>
      </c>
      <c r="H92" s="5" t="inlineStr">
        <is>
          <t>Use placeholder {{tenantName}}</t>
        </is>
      </c>
      <c r="I92" s="5" t="inlineStr">
        <is>
          <t>Change persists. Sent late notice uses the new subject and body, with placeholders expanded.</t>
        </is>
      </c>
      <c r="J92" s="5" t="inlineStr"/>
      <c r="K92" s="5" t="inlineStr">
        <is>
          <t>Not Run</t>
        </is>
      </c>
      <c r="L92" s="5" t="inlineStr"/>
      <c r="M92" s="5" t="inlineStr"/>
      <c r="N92" s="5" t="inlineStr"/>
      <c r="O92" s="5" t="inlineStr"/>
      <c r="P92" s="5" t="inlineStr"/>
    </row>
    <row r="93" ht="48" customHeight="1">
      <c r="A93" s="19" t="inlineStr">
        <is>
          <t>ACOM-003</t>
        </is>
      </c>
      <c r="B93" s="19" t="inlineStr">
        <is>
          <t>Admin / Communications</t>
        </is>
      </c>
      <c r="C93" s="19" t="inlineStr">
        <is>
          <t>Send custom email</t>
        </is>
      </c>
      <c r="D93" s="19" t="inlineStr">
        <is>
          <t>Medium</t>
        </is>
      </c>
      <c r="E93" s="19" t="inlineStr">
        <is>
          <t>Admin can send a one-off email to selected tenants</t>
        </is>
      </c>
      <c r="F93" s="19" t="inlineStr">
        <is>
          <t>—</t>
        </is>
      </c>
      <c r="G93" s="19" t="inlineStr">
        <is>
          <t>1. /admin/communications/send-email.
2. Select 1-2 tenants.
3. Compose subject + body.
4. Send.</t>
        </is>
      </c>
      <c r="H93" s="19" t="inlineStr">
        <is>
          <t>Use tester tenants</t>
        </is>
      </c>
      <c r="I93" s="19" t="inlineStr">
        <is>
          <t>Confirmation shown. Tenants receive the email.</t>
        </is>
      </c>
      <c r="J93" s="19" t="inlineStr"/>
      <c r="K93" s="19" t="inlineStr">
        <is>
          <t>Not Run</t>
        </is>
      </c>
      <c r="L93" s="19" t="inlineStr"/>
      <c r="M93" s="19" t="inlineStr"/>
      <c r="N93" s="19" t="inlineStr"/>
      <c r="O93" s="19" t="inlineStr"/>
      <c r="P93" s="19" t="inlineStr"/>
    </row>
    <row r="94" ht="48" customHeight="1">
      <c r="A94" s="5" t="inlineStr">
        <is>
          <t>ACOM-004</t>
        </is>
      </c>
      <c r="B94" s="5" t="inlineStr">
        <is>
          <t>Admin / Communications</t>
        </is>
      </c>
      <c r="C94" s="5" t="inlineStr">
        <is>
          <t>Print batches</t>
        </is>
      </c>
      <c r="D94" s="5" t="inlineStr">
        <is>
          <t>Low</t>
        </is>
      </c>
      <c r="E94" s="5" t="inlineStr">
        <is>
          <t>Print batches list shows recent jobs</t>
        </is>
      </c>
      <c r="F94" s="5" t="inlineStr">
        <is>
          <t>At least one print batch was generated.</t>
        </is>
      </c>
      <c r="G94" s="5" t="inlineStr">
        <is>
          <t>1. /admin/communications/print-batches.</t>
        </is>
      </c>
      <c r="H94" s="5" t="inlineStr">
        <is>
          <t>—</t>
        </is>
      </c>
      <c r="I94" s="5" t="inlineStr">
        <is>
          <t>Batches listed with status, date, recipient count.</t>
        </is>
      </c>
      <c r="J94" s="5" t="inlineStr"/>
      <c r="K94" s="5" t="inlineStr">
        <is>
          <t>Not Run</t>
        </is>
      </c>
      <c r="L94" s="5" t="inlineStr"/>
      <c r="M94" s="5" t="inlineStr"/>
      <c r="N94" s="5" t="inlineStr"/>
      <c r="O94" s="5" t="inlineStr"/>
      <c r="P94" s="5" t="inlineStr"/>
    </row>
    <row r="95" ht="48" customHeight="1">
      <c r="A95" s="19" t="inlineStr">
        <is>
          <t>ACOM-005</t>
        </is>
      </c>
      <c r="B95" s="19" t="inlineStr">
        <is>
          <t>Admin / Communications</t>
        </is>
      </c>
      <c r="C95" s="19" t="inlineStr">
        <is>
          <t>Mailing labels</t>
        </is>
      </c>
      <c r="D95" s="19" t="inlineStr">
        <is>
          <t>Low</t>
        </is>
      </c>
      <c r="E95" s="19" t="inlineStr">
        <is>
          <t>Admin can generate mailing labels</t>
        </is>
      </c>
      <c r="F95" s="19" t="inlineStr">
        <is>
          <t>—</t>
        </is>
      </c>
      <c r="G95" s="19" t="inlineStr">
        <is>
          <t>1. /admin/communications/mailing-labels.
2. Select filter (e.g., all active).
3. Generate PDF.</t>
        </is>
      </c>
      <c r="H95" s="19" t="inlineStr">
        <is>
          <t>Avery 5160</t>
        </is>
      </c>
      <c r="I95" s="19" t="inlineStr">
        <is>
          <t>PDF generated with correctly formatted addresses.</t>
        </is>
      </c>
      <c r="J95" s="19" t="inlineStr"/>
      <c r="K95" s="19" t="inlineStr">
        <is>
          <t>Not Run</t>
        </is>
      </c>
      <c r="L95" s="19" t="inlineStr"/>
      <c r="M95" s="19" t="inlineStr"/>
      <c r="N95" s="19" t="inlineStr"/>
      <c r="O95" s="19" t="inlineStr"/>
      <c r="P95" s="19" t="inlineStr"/>
    </row>
    <row r="96" ht="48" customHeight="1">
      <c r="A96" s="5" t="inlineStr">
        <is>
          <t>ARTE-001</t>
        </is>
      </c>
      <c r="B96" s="5" t="inlineStr">
        <is>
          <t>Admin / Rate Mgmt</t>
        </is>
      </c>
      <c r="C96" s="5" t="inlineStr">
        <is>
          <t>Suggestions</t>
        </is>
      </c>
      <c r="D96" s="5" t="inlineStr">
        <is>
          <t>Medium</t>
        </is>
      </c>
      <c r="E96" s="5" t="inlineStr">
        <is>
          <t>Rate management surfaces unit-type and rental suggestions</t>
        </is>
      </c>
      <c r="F96" s="5" t="inlineStr">
        <is>
          <t>Rate management enabled with rules. Units and leases qualifying for change exist.</t>
        </is>
      </c>
      <c r="G96" s="5" t="inlineStr">
        <is>
          <t>1. /admin/rate-management.</t>
        </is>
      </c>
      <c r="H96" s="5" t="inlineStr">
        <is>
          <t>—</t>
        </is>
      </c>
      <c r="I96" s="5" t="inlineStr">
        <is>
          <t>Unit-type suggestions and rental suggestions tables populated based on rules.</t>
        </is>
      </c>
      <c r="J96" s="5" t="inlineStr"/>
      <c r="K96" s="5" t="inlineStr">
        <is>
          <t>Not Run</t>
        </is>
      </c>
      <c r="L96" s="5" t="inlineStr"/>
      <c r="M96" s="5" t="inlineStr"/>
      <c r="N96" s="5" t="inlineStr"/>
      <c r="O96" s="5" t="inlineStr"/>
      <c r="P96" s="5" t="inlineStr"/>
    </row>
    <row r="97" ht="52" customHeight="1">
      <c r="A97" s="19" t="inlineStr">
        <is>
          <t>ARTE-002</t>
        </is>
      </c>
      <c r="B97" s="19" t="inlineStr">
        <is>
          <t>Admin / Rate Mgmt</t>
        </is>
      </c>
      <c r="C97" s="19" t="inlineStr">
        <is>
          <t>Batch submit</t>
        </is>
      </c>
      <c r="D97" s="19" t="inlineStr">
        <is>
          <t>High</t>
        </is>
      </c>
      <c r="E97" s="19" t="inlineStr">
        <is>
          <t>Admin can submit a batch of rate changes</t>
        </is>
      </c>
      <c r="F97" s="19" t="inlineStr">
        <is>
          <t>Suggestions present.</t>
        </is>
      </c>
      <c r="G97" s="19" t="inlineStr">
        <is>
          <t>1. Select 1-2 rentals.
2. Submit.</t>
        </is>
      </c>
      <c r="H97" s="19" t="inlineStr">
        <is>
          <t>—</t>
        </is>
      </c>
      <c r="I97" s="19" t="inlineStr">
        <is>
          <t>Batch is created. Tenants receive notifications per configured channels. Batch appears in /admin/rate-management/batches.</t>
        </is>
      </c>
      <c r="J97" s="19" t="inlineStr"/>
      <c r="K97" s="19" t="inlineStr">
        <is>
          <t>Not Run</t>
        </is>
      </c>
      <c r="L97" s="19" t="inlineStr"/>
      <c r="M97" s="19" t="inlineStr"/>
      <c r="N97" s="19" t="inlineStr"/>
      <c r="O97" s="19" t="inlineStr"/>
      <c r="P97" s="19" t="inlineStr"/>
    </row>
    <row r="98" ht="48" customHeight="1">
      <c r="A98" s="5" t="inlineStr">
        <is>
          <t>ARTE-003</t>
        </is>
      </c>
      <c r="B98" s="5" t="inlineStr">
        <is>
          <t>Admin / Rate Mgmt</t>
        </is>
      </c>
      <c r="C98" s="5" t="inlineStr">
        <is>
          <t>Batch execution</t>
        </is>
      </c>
      <c r="D98" s="5" t="inlineStr">
        <is>
          <t>High</t>
        </is>
      </c>
      <c r="E98" s="5" t="inlineStr">
        <is>
          <t>Rate execution cron applies changes on the scheduled date</t>
        </is>
      </c>
      <c r="F98" s="5" t="inlineStr">
        <is>
          <t>Batch item exists with changeDate = today.</t>
        </is>
      </c>
      <c r="G98" s="5" t="inlineStr">
        <is>
          <t>1. Run cron 'rate-execution' (or wait until natural run).</t>
        </is>
      </c>
      <c r="H98" s="5" t="inlineStr">
        <is>
          <t>—</t>
        </is>
      </c>
      <c r="I98" s="5" t="inlineStr">
        <is>
          <t>Lease monthlyRate updated. Item status = executed. Confirmation email sent.</t>
        </is>
      </c>
      <c r="J98" s="5" t="inlineStr"/>
      <c r="K98" s="5" t="inlineStr">
        <is>
          <t>Not Run</t>
        </is>
      </c>
      <c r="L98" s="5" t="inlineStr"/>
      <c r="M98" s="5" t="inlineStr"/>
      <c r="N98" s="5" t="inlineStr"/>
      <c r="O98" s="5" t="inlineStr"/>
      <c r="P98" s="5" t="inlineStr"/>
    </row>
    <row r="99" ht="48" customHeight="1">
      <c r="A99" s="19" t="inlineStr">
        <is>
          <t>ARTE-004</t>
        </is>
      </c>
      <c r="B99" s="19" t="inlineStr">
        <is>
          <t>Admin / Rate Mgmt</t>
        </is>
      </c>
      <c r="C99" s="19" t="inlineStr">
        <is>
          <t>Cancel item</t>
        </is>
      </c>
      <c r="D99" s="19" t="inlineStr">
        <is>
          <t>Medium</t>
        </is>
      </c>
      <c r="E99" s="19" t="inlineStr">
        <is>
          <t>Admin can cancel a pending rate change</t>
        </is>
      </c>
      <c r="F99" s="19" t="inlineStr">
        <is>
          <t>Pending rate batch item exists.</t>
        </is>
      </c>
      <c r="G99" s="19" t="inlineStr">
        <is>
          <t>1. Open the batch item → Cancel.</t>
        </is>
      </c>
      <c r="H99" s="19" t="inlineStr">
        <is>
          <t>—</t>
        </is>
      </c>
      <c r="I99" s="19" t="inlineStr">
        <is>
          <t>Item status = cancelled. Lease rate not changed on the previously scheduled date.</t>
        </is>
      </c>
      <c r="J99" s="19" t="inlineStr"/>
      <c r="K99" s="19" t="inlineStr">
        <is>
          <t>Not Run</t>
        </is>
      </c>
      <c r="L99" s="19" t="inlineStr"/>
      <c r="M99" s="19" t="inlineStr"/>
      <c r="N99" s="19" t="inlineStr"/>
      <c r="O99" s="19" t="inlineStr"/>
      <c r="P99" s="19" t="inlineStr"/>
    </row>
    <row r="100" ht="52" customHeight="1">
      <c r="A100" s="5" t="inlineStr">
        <is>
          <t>VIS-001</t>
        </is>
      </c>
      <c r="B100" s="5" t="inlineStr">
        <is>
          <t>Visitor Access</t>
        </is>
      </c>
      <c r="C100" s="5" t="inlineStr">
        <is>
          <t>Issue</t>
        </is>
      </c>
      <c r="D100" s="5" t="inlineStr">
        <is>
          <t>Critical</t>
        </is>
      </c>
      <c r="E100" s="5" t="inlineStr">
        <is>
          <t>Admin can issue a temporary visitor pass</t>
        </is>
      </c>
      <c r="F100" s="5" t="inlineStr">
        <is>
          <t>PDK group bootstrap done (or sandbox enabled).</t>
        </is>
      </c>
      <c r="G100" s="5" t="inlineStr">
        <is>
          <t>1. /admin/visitor-access.
2. New pass → name, purpose, duration 1h.
3. Submit.</t>
        </is>
      </c>
      <c r="H100" s="5" t="inlineStr">
        <is>
          <t>Name 'Electrician', purpose 'Panel check', duration 1h</t>
        </is>
      </c>
      <c r="I100" s="5" t="inlineStr">
        <is>
          <t>Pass created. PIN displayed exactly once in reveal dialog. Pass listed under active. PDK holder provisioned (when sync enabled).</t>
        </is>
      </c>
      <c r="J100" s="5" t="inlineStr"/>
      <c r="K100" s="5" t="inlineStr">
        <is>
          <t>Not Run</t>
        </is>
      </c>
      <c r="L100" s="5" t="inlineStr"/>
      <c r="M100" s="5" t="inlineStr"/>
      <c r="N100" s="5" t="inlineStr"/>
      <c r="O100" s="5" t="inlineStr"/>
      <c r="P100" s="5" t="inlineStr"/>
    </row>
    <row r="101" ht="48" customHeight="1">
      <c r="A101" s="19" t="inlineStr">
        <is>
          <t>VIS-002</t>
        </is>
      </c>
      <c r="B101" s="19" t="inlineStr">
        <is>
          <t>Visitor Access</t>
        </is>
      </c>
      <c r="C101" s="19" t="inlineStr">
        <is>
          <t>PIN visibility</t>
        </is>
      </c>
      <c r="D101" s="19" t="inlineStr">
        <is>
          <t>High</t>
        </is>
      </c>
      <c r="E101" s="19" t="inlineStr">
        <is>
          <t>PIN is shown only once and not in subsequent lists</t>
        </is>
      </c>
      <c r="F101" s="19" t="inlineStr">
        <is>
          <t>Pass just issued.</t>
        </is>
      </c>
      <c r="G101" s="19" t="inlineStr">
        <is>
          <t>1. Close the reveal dialog.
2. Reload list.</t>
        </is>
      </c>
      <c r="H101" s="19" t="inlineStr">
        <is>
          <t>—</t>
        </is>
      </c>
      <c r="I101" s="19" t="inlineStr">
        <is>
          <t>PIN no longer visible. Only metadata (name, purpose, validity, status) shown.</t>
        </is>
      </c>
      <c r="J101" s="19" t="inlineStr"/>
      <c r="K101" s="19" t="inlineStr">
        <is>
          <t>Not Run</t>
        </is>
      </c>
      <c r="L101" s="19" t="inlineStr"/>
      <c r="M101" s="19" t="inlineStr"/>
      <c r="N101" s="19" t="inlineStr"/>
      <c r="O101" s="19" t="inlineStr"/>
      <c r="P101" s="19" t="inlineStr"/>
    </row>
    <row r="102" ht="48" customHeight="1">
      <c r="A102" s="5" t="inlineStr">
        <is>
          <t>VIS-003</t>
        </is>
      </c>
      <c r="B102" s="5" t="inlineStr">
        <is>
          <t>Visitor Access</t>
        </is>
      </c>
      <c r="C102" s="5" t="inlineStr">
        <is>
          <t>Revoke</t>
        </is>
      </c>
      <c r="D102" s="5" t="inlineStr">
        <is>
          <t>High</t>
        </is>
      </c>
      <c r="E102" s="5" t="inlineStr">
        <is>
          <t>Admin can revoke an active pass</t>
        </is>
      </c>
      <c r="F102" s="5" t="inlineStr">
        <is>
          <t>Active visitor pass exists.</t>
        </is>
      </c>
      <c r="G102" s="5" t="inlineStr">
        <is>
          <t>1. Click Revoke on a pass row.
2. Confirm.</t>
        </is>
      </c>
      <c r="H102" s="5" t="inlineStr">
        <is>
          <t>—</t>
        </is>
      </c>
      <c r="I102" s="5" t="inlineStr">
        <is>
          <t>Pass status changes to revoked. PDK holder disabled / removed from group. PIN no longer opens gate.</t>
        </is>
      </c>
      <c r="J102" s="5" t="inlineStr"/>
      <c r="K102" s="5" t="inlineStr">
        <is>
          <t>Not Run</t>
        </is>
      </c>
      <c r="L102" s="5" t="inlineStr"/>
      <c r="M102" s="5" t="inlineStr"/>
      <c r="N102" s="5" t="inlineStr"/>
      <c r="O102" s="5" t="inlineStr"/>
      <c r="P102" s="5" t="inlineStr"/>
    </row>
    <row r="103" ht="48" customHeight="1">
      <c r="A103" s="19" t="inlineStr">
        <is>
          <t>VIS-004</t>
        </is>
      </c>
      <c r="B103" s="19" t="inlineStr">
        <is>
          <t>Visitor Access</t>
        </is>
      </c>
      <c r="C103" s="19" t="inlineStr">
        <is>
          <t>Expiration cron</t>
        </is>
      </c>
      <c r="D103" s="19" t="inlineStr">
        <is>
          <t>High</t>
        </is>
      </c>
      <c r="E103" s="19" t="inlineStr">
        <is>
          <t>Cron expires passes past validUntil</t>
        </is>
      </c>
      <c r="F103" s="19" t="inlineStr">
        <is>
          <t>A visitor pass with validUntil 2 minutes in the past exists.</t>
        </is>
      </c>
      <c r="G103" s="19" t="inlineStr">
        <is>
          <t>1. Wait for the next cron run (every ~2 minutes) OR manually trigger the cron endpoint.</t>
        </is>
      </c>
      <c r="H103" s="19" t="inlineStr">
        <is>
          <t>—</t>
        </is>
      </c>
      <c r="I103" s="19" t="inlineStr">
        <is>
          <t>Pass moves to expired status. expiredAt timestamp set. PDK holder removed.</t>
        </is>
      </c>
      <c r="J103" s="19" t="inlineStr"/>
      <c r="K103" s="19" t="inlineStr">
        <is>
          <t>Not Run</t>
        </is>
      </c>
      <c r="L103" s="19" t="inlineStr"/>
      <c r="M103" s="19" t="inlineStr"/>
      <c r="N103" s="19" t="inlineStr"/>
      <c r="O103" s="19" t="inlineStr"/>
      <c r="P103" s="19" t="inlineStr"/>
    </row>
    <row r="104" ht="48" customHeight="1">
      <c r="A104" s="5" t="inlineStr">
        <is>
          <t>VIS-005</t>
        </is>
      </c>
      <c r="B104" s="5" t="inlineStr">
        <is>
          <t>Visitor Access</t>
        </is>
      </c>
      <c r="C104" s="5" t="inlineStr">
        <is>
          <t>Filter</t>
        </is>
      </c>
      <c r="D104" s="5" t="inlineStr">
        <is>
          <t>Low</t>
        </is>
      </c>
      <c r="E104" s="5" t="inlineStr">
        <is>
          <t>Admin can filter list by status</t>
        </is>
      </c>
      <c r="F104" s="5" t="inlineStr">
        <is>
          <t>Mix of active, expired, revoked passes.</t>
        </is>
      </c>
      <c r="G104" s="5" t="inlineStr">
        <is>
          <t>1. On /admin/visitor-access change filter to 'Expired'.</t>
        </is>
      </c>
      <c r="H104" s="5" t="inlineStr">
        <is>
          <t>—</t>
        </is>
      </c>
      <c r="I104" s="5" t="inlineStr">
        <is>
          <t>Only expired passes shown.</t>
        </is>
      </c>
      <c r="J104" s="5" t="inlineStr"/>
      <c r="K104" s="5" t="inlineStr">
        <is>
          <t>Not Run</t>
        </is>
      </c>
      <c r="L104" s="5" t="inlineStr"/>
      <c r="M104" s="5" t="inlineStr"/>
      <c r="N104" s="5" t="inlineStr"/>
      <c r="O104" s="5" t="inlineStr"/>
      <c r="P104" s="5" t="inlineStr"/>
    </row>
    <row r="105" ht="48" customHeight="1">
      <c r="A105" s="19" t="inlineStr">
        <is>
          <t>VIS-006</t>
        </is>
      </c>
      <c r="B105" s="19" t="inlineStr">
        <is>
          <t>Visitor Access</t>
        </is>
      </c>
      <c r="C105" s="19" t="inlineStr">
        <is>
          <t>Audit</t>
        </is>
      </c>
      <c r="D105" s="19" t="inlineStr">
        <is>
          <t>Medium</t>
        </is>
      </c>
      <c r="E105" s="19" t="inlineStr">
        <is>
          <t>Pass entries record createdBy / revokedBy</t>
        </is>
      </c>
      <c r="F105" s="19" t="inlineStr">
        <is>
          <t>Issued and revoked passes by known admins.</t>
        </is>
      </c>
      <c r="G105" s="19" t="inlineStr">
        <is>
          <t>1. Inspect a pass detail.</t>
        </is>
      </c>
      <c r="H105" s="19" t="inlineStr">
        <is>
          <t>—</t>
        </is>
      </c>
      <c r="I105" s="19" t="inlineStr">
        <is>
          <t>createdBy = the admin who issued. revokedBy + revokedAt set for revoked passes.</t>
        </is>
      </c>
      <c r="J105" s="19" t="inlineStr"/>
      <c r="K105" s="19" t="inlineStr">
        <is>
          <t>Not Run</t>
        </is>
      </c>
      <c r="L105" s="19" t="inlineStr"/>
      <c r="M105" s="19" t="inlineStr"/>
      <c r="N105" s="19" t="inlineStr"/>
      <c r="O105" s="19" t="inlineStr"/>
      <c r="P105" s="19" t="inlineStr"/>
    </row>
    <row r="106" ht="66" customHeight="1">
      <c r="A106" s="5" t="inlineStr">
        <is>
          <t>SMS-001</t>
        </is>
      </c>
      <c r="B106" s="5" t="inlineStr">
        <is>
          <t>Text-to-Open SMS</t>
        </is>
      </c>
      <c r="C106" s="5" t="inlineStr">
        <is>
          <t>Whitelist authorised</t>
        </is>
      </c>
      <c r="D106" s="5" t="inlineStr">
        <is>
          <t>Critical</t>
        </is>
      </c>
      <c r="E106" s="5" t="inlineStr">
        <is>
          <t>Authorised phone unlocks gate via SMS</t>
        </is>
      </c>
      <c r="F106" s="5" t="inlineStr">
        <is>
          <t>Twilio webhook URL configured on PDK gate settings. Tester's mobile number added to whitelist.</t>
        </is>
      </c>
      <c r="G106" s="5" t="inlineStr">
        <is>
          <t>1. From whitelisted phone, text ANY message (e.g., 'open') to the facility's Twilio number.</t>
        </is>
      </c>
      <c r="H106" s="5" t="inlineStr">
        <is>
          <t>Any short text</t>
        </is>
      </c>
      <c r="I106" s="5" t="inlineStr">
        <is>
          <t>Reply received: 'Gate opening.' Within seconds entry devices momentarily unlock (verify physically or in PDK panel). AccessLog entry created with source = 'app' or 'sms' and the phone + device IDs.</t>
        </is>
      </c>
      <c r="J106" s="5" t="inlineStr"/>
      <c r="K106" s="5" t="inlineStr">
        <is>
          <t>Not Run</t>
        </is>
      </c>
      <c r="L106" s="5" t="inlineStr"/>
      <c r="M106" s="5" t="inlineStr"/>
      <c r="N106" s="5" t="inlineStr"/>
      <c r="O106" s="5" t="inlineStr"/>
      <c r="P106" s="5" t="inlineStr"/>
    </row>
    <row r="107" ht="52" customHeight="1">
      <c r="A107" s="19" t="inlineStr">
        <is>
          <t>SMS-002</t>
        </is>
      </c>
      <c r="B107" s="19" t="inlineStr">
        <is>
          <t>Text-to-Open SMS</t>
        </is>
      </c>
      <c r="C107" s="19" t="inlineStr">
        <is>
          <t>Whitelist rejection</t>
        </is>
      </c>
      <c r="D107" s="19" t="inlineStr">
        <is>
          <t>Critical</t>
        </is>
      </c>
      <c r="E107" s="19" t="inlineStr">
        <is>
          <t>Non-whitelisted phone is silently rejected</t>
        </is>
      </c>
      <c r="F107" s="19" t="inlineStr">
        <is>
          <t>Tester's mobile not on whitelist.</t>
        </is>
      </c>
      <c r="G107" s="19" t="inlineStr">
        <is>
          <t>1. From non-whitelisted phone, text the facility number.</t>
        </is>
      </c>
      <c r="H107" s="19" t="inlineStr">
        <is>
          <t>Any text</t>
        </is>
      </c>
      <c r="I107" s="19" t="inlineStr">
        <is>
          <t>Reply is a generic non-leaking message (or no acknowledgement). NO gate unlock occurs. Console / server logs show rejection. No AccessLog row created.</t>
        </is>
      </c>
      <c r="J107" s="19" t="inlineStr"/>
      <c r="K107" s="19" t="inlineStr">
        <is>
          <t>Not Run</t>
        </is>
      </c>
      <c r="L107" s="19" t="inlineStr"/>
      <c r="M107" s="19" t="inlineStr"/>
      <c r="N107" s="19" t="inlineStr"/>
      <c r="O107" s="19" t="inlineStr"/>
      <c r="P107" s="19" t="inlineStr"/>
    </row>
    <row r="108" ht="48" customHeight="1">
      <c r="A108" s="5" t="inlineStr">
        <is>
          <t>SMS-003</t>
        </is>
      </c>
      <c r="B108" s="5" t="inlineStr">
        <is>
          <t>Text-to-Open SMS</t>
        </is>
      </c>
      <c r="C108" s="5" t="inlineStr">
        <is>
          <t>Signature verification</t>
        </is>
      </c>
      <c r="D108" s="5" t="inlineStr">
        <is>
          <t>High</t>
        </is>
      </c>
      <c r="E108" s="5" t="inlineStr">
        <is>
          <t>Webhook rejects requests with invalid Twilio signature</t>
        </is>
      </c>
      <c r="F108" s="5" t="inlineStr">
        <is>
          <t>Tester has access to a webhook tester tool (e.g., curl).</t>
        </is>
      </c>
      <c r="G108" s="5" t="inlineStr">
        <is>
          <t>1. POST to /api/webhooks/twilio/sms with bogus X-Twilio-Signature.</t>
        </is>
      </c>
      <c r="H108" s="5" t="inlineStr">
        <is>
          <t>Any payload</t>
        </is>
      </c>
      <c r="I108" s="5" t="inlineStr">
        <is>
          <t>Response 401/403. No unlock. No DB write.</t>
        </is>
      </c>
      <c r="J108" s="5" t="inlineStr"/>
      <c r="K108" s="5" t="inlineStr">
        <is>
          <t>Not Run</t>
        </is>
      </c>
      <c r="L108" s="5" t="inlineStr"/>
      <c r="M108" s="5" t="inlineStr"/>
      <c r="N108" s="5" t="inlineStr"/>
      <c r="O108" s="5" t="inlineStr"/>
      <c r="P108" s="5" t="inlineStr"/>
    </row>
    <row r="109" ht="52" customHeight="1">
      <c r="A109" s="19" t="inlineStr">
        <is>
          <t>SMS-004</t>
        </is>
      </c>
      <c r="B109" s="19" t="inlineStr">
        <is>
          <t>Text-to-Open SMS</t>
        </is>
      </c>
      <c r="C109" s="19" t="inlineStr">
        <is>
          <t>Multi-device fan-out</t>
        </is>
      </c>
      <c r="D109" s="19" t="inlineStr">
        <is>
          <t>High</t>
        </is>
      </c>
      <c r="E109" s="19" t="inlineStr">
        <is>
          <t>All configured entry devices unlock momentarily</t>
        </is>
      </c>
      <c r="F109" s="19" t="inlineStr">
        <is>
          <t>Multiple entry devices configured.</t>
        </is>
      </c>
      <c r="G109" s="19" t="inlineStr">
        <is>
          <t>1. Authorised SMS as above.</t>
        </is>
      </c>
      <c r="H109" s="19" t="inlineStr">
        <is>
          <t>—</t>
        </is>
      </c>
      <c r="I109" s="19" t="inlineStr">
        <is>
          <t>Each entry device receives the momentary unlock command (verify in PDK panel or AccessLog entries: one row per device unlocked).</t>
        </is>
      </c>
      <c r="J109" s="19" t="inlineStr"/>
      <c r="K109" s="19" t="inlineStr">
        <is>
          <t>Not Run</t>
        </is>
      </c>
      <c r="L109" s="19" t="inlineStr"/>
      <c r="M109" s="19" t="inlineStr"/>
      <c r="N109" s="19" t="inlineStr"/>
      <c r="O109" s="19" t="inlineStr"/>
      <c r="P109" s="19" t="inlineStr"/>
    </row>
    <row r="110" ht="48" customHeight="1">
      <c r="A110" s="5" t="inlineStr">
        <is>
          <t>SMS-005</t>
        </is>
      </c>
      <c r="B110" s="5" t="inlineStr">
        <is>
          <t>Text-to-Open SMS</t>
        </is>
      </c>
      <c r="C110" s="5" t="inlineStr">
        <is>
          <t>Whitelist edit</t>
        </is>
      </c>
      <c r="D110" s="5" t="inlineStr">
        <is>
          <t>Medium</t>
        </is>
      </c>
      <c r="E110" s="5" t="inlineStr">
        <is>
          <t>Admin can add/remove numbers in the whitelist</t>
        </is>
      </c>
      <c r="F110" s="5" t="inlineStr">
        <is>
          <t>On /admin/settings/gate.</t>
        </is>
      </c>
      <c r="G110" s="5" t="inlineStr">
        <is>
          <t>1. Edit whitelist textarea, add a new number, save.
2. Reload page.</t>
        </is>
      </c>
      <c r="H110" s="5" t="inlineStr">
        <is>
          <t>+15551234567</t>
        </is>
      </c>
      <c r="I110" s="5" t="inlineStr">
        <is>
          <t>Saved value is normalised (digits + leading +). Reload shows the updated list.</t>
        </is>
      </c>
      <c r="J110" s="5" t="inlineStr"/>
      <c r="K110" s="5" t="inlineStr">
        <is>
          <t>Not Run</t>
        </is>
      </c>
      <c r="L110" s="5" t="inlineStr"/>
      <c r="M110" s="5" t="inlineStr"/>
      <c r="N110" s="5" t="inlineStr"/>
      <c r="O110" s="5" t="inlineStr"/>
      <c r="P110" s="5" t="inlineStr"/>
    </row>
    <row r="111" ht="48" customHeight="1">
      <c r="A111" s="19" t="inlineStr">
        <is>
          <t>PDK-001</t>
        </is>
      </c>
      <c r="B111" s="19" t="inlineStr">
        <is>
          <t>PDK Gate</t>
        </is>
      </c>
      <c r="C111" s="19" t="inlineStr">
        <is>
          <t>Kill switch</t>
        </is>
      </c>
      <c r="D111" s="19" t="inlineStr">
        <is>
          <t>Critical</t>
        </is>
      </c>
      <c r="E111" s="19" t="inlineStr">
        <is>
          <t>All PDK sync paths short-circuit when kill switch is off</t>
        </is>
      </c>
      <c r="F111" s="19" t="inlineStr">
        <is>
          <t>PDK_SYNC_ENABLED unset.</t>
        </is>
      </c>
      <c r="G111" s="19" t="inlineStr">
        <is>
          <t>1. Issue / revoke a tenant change.
2. Inspect logs.</t>
        </is>
      </c>
      <c r="H111" s="19" t="inlineStr">
        <is>
          <t>—</t>
        </is>
      </c>
      <c r="I111" s="19" t="inlineStr">
        <is>
          <t>No outbound HTTP to PDK. Local DB write succeeds. No errors raised.</t>
        </is>
      </c>
      <c r="J111" s="19" t="inlineStr"/>
      <c r="K111" s="19" t="inlineStr">
        <is>
          <t>Not Run</t>
        </is>
      </c>
      <c r="L111" s="19" t="inlineStr"/>
      <c r="M111" s="19" t="inlineStr"/>
      <c r="N111" s="19" t="inlineStr"/>
      <c r="O111" s="19" t="inlineStr"/>
      <c r="P111" s="19" t="inlineStr"/>
    </row>
    <row r="112" ht="48" customHeight="1">
      <c r="A112" s="5" t="inlineStr">
        <is>
          <t>PDK-002</t>
        </is>
      </c>
      <c r="B112" s="5" t="inlineStr">
        <is>
          <t>PDK Gate</t>
        </is>
      </c>
      <c r="C112" s="5" t="inlineStr">
        <is>
          <t>Holder sync</t>
        </is>
      </c>
      <c r="D112" s="5" t="inlineStr">
        <is>
          <t>Critical</t>
        </is>
      </c>
      <c r="E112" s="5" t="inlineStr">
        <is>
          <t>Tenant changes sync to PDK when enabled</t>
        </is>
      </c>
      <c r="F112" s="5" t="inlineStr">
        <is>
          <t>PDK_SYNC_ENABLED=true with valid credentials.</t>
        </is>
      </c>
      <c r="G112" s="5" t="inlineStr">
        <is>
          <t>1. Regenerate a tenant gate code.</t>
        </is>
      </c>
      <c r="H112" s="5" t="inlineStr">
        <is>
          <t>—</t>
        </is>
      </c>
      <c r="I112" s="5" t="inlineStr">
        <is>
          <t>PDK holder PIN updated within seconds. Tenant.pdkSyncedAt updated.</t>
        </is>
      </c>
      <c r="J112" s="5" t="inlineStr"/>
      <c r="K112" s="5" t="inlineStr">
        <is>
          <t>Not Run</t>
        </is>
      </c>
      <c r="L112" s="5" t="inlineStr"/>
      <c r="M112" s="5" t="inlineStr"/>
      <c r="N112" s="5" t="inlineStr"/>
      <c r="O112" s="5" t="inlineStr"/>
      <c r="P112" s="5" t="inlineStr"/>
    </row>
    <row r="113" ht="48" customHeight="1">
      <c r="A113" s="19" t="inlineStr">
        <is>
          <t>PDK-003</t>
        </is>
      </c>
      <c r="B113" s="19" t="inlineStr">
        <is>
          <t>PDK Gate</t>
        </is>
      </c>
      <c r="C113" s="19" t="inlineStr">
        <is>
          <t>Group rules sync</t>
        </is>
      </c>
      <c r="D113" s="19" t="inlineStr">
        <is>
          <t>High</t>
        </is>
      </c>
      <c r="E113" s="19" t="inlineStr">
        <is>
          <t>Editing access hours updates PDK group rules</t>
        </is>
      </c>
      <c r="F113" s="19" t="inlineStr">
        <is>
          <t>—</t>
        </is>
      </c>
      <c r="G113" s="19" t="inlineStr">
        <is>
          <t>1. Settings → Facility → change access hours.
2. Save.</t>
        </is>
      </c>
      <c r="H113" s="19" t="inlineStr">
        <is>
          <t>Hours 06:00–22:00</t>
        </is>
      </c>
      <c r="I113" s="19" t="inlineStr">
        <is>
          <t>PDK group entry rule schedule updated to new hours. Exit rule remains 24/7.</t>
        </is>
      </c>
      <c r="J113" s="19" t="inlineStr"/>
      <c r="K113" s="19" t="inlineStr">
        <is>
          <t>Not Run</t>
        </is>
      </c>
      <c r="L113" s="19" t="inlineStr"/>
      <c r="M113" s="19" t="inlineStr"/>
      <c r="N113" s="19" t="inlineStr"/>
      <c r="O113" s="19" t="inlineStr"/>
      <c r="P113" s="19" t="inlineStr"/>
    </row>
    <row r="114" ht="48" customHeight="1">
      <c r="A114" s="5" t="inlineStr">
        <is>
          <t>PDK-004</t>
        </is>
      </c>
      <c r="B114" s="5" t="inlineStr">
        <is>
          <t>PDK Gate</t>
        </is>
      </c>
      <c r="C114" s="5" t="inlineStr">
        <is>
          <t>Reconcile job</t>
        </is>
      </c>
      <c r="D114" s="5" t="inlineStr">
        <is>
          <t>Medium</t>
        </is>
      </c>
      <c r="E114" s="5" t="inlineStr">
        <is>
          <t>Reconcile cron repairs drift</t>
        </is>
      </c>
      <c r="F114" s="5" t="inlineStr">
        <is>
          <t>Manually disable a tenant in PDK panel.</t>
        </is>
      </c>
      <c r="G114" s="5" t="inlineStr">
        <is>
          <t>1. Trigger /api/cron/pdkReconcile.</t>
        </is>
      </c>
      <c r="H114" s="5" t="inlineStr">
        <is>
          <t>—</t>
        </is>
      </c>
      <c r="I114" s="5" t="inlineStr">
        <is>
          <t>Job re-enables tenant and re-adds them to entry group. Summary shows {patched: 1}.</t>
        </is>
      </c>
      <c r="J114" s="5" t="inlineStr"/>
      <c r="K114" s="5" t="inlineStr">
        <is>
          <t>Not Run</t>
        </is>
      </c>
      <c r="L114" s="5" t="inlineStr"/>
      <c r="M114" s="5" t="inlineStr"/>
      <c r="N114" s="5" t="inlineStr"/>
      <c r="O114" s="5" t="inlineStr"/>
      <c r="P114" s="5" t="inlineStr"/>
    </row>
    <row r="115" ht="48" customHeight="1">
      <c r="A115" s="19" t="inlineStr">
        <is>
          <t>PDK-005</t>
        </is>
      </c>
      <c r="B115" s="19" t="inlineStr">
        <is>
          <t>PDK Gate</t>
        </is>
      </c>
      <c r="C115" s="19" t="inlineStr">
        <is>
          <t>Webhook — allowed</t>
        </is>
      </c>
      <c r="D115" s="19" t="inlineStr">
        <is>
          <t>Critical</t>
        </is>
      </c>
      <c r="E115" s="19" t="inlineStr">
        <is>
          <t>Allowed-entry webhook creates AccessLog row</t>
        </is>
      </c>
      <c r="F115" s="19" t="inlineStr">
        <is>
          <t>Webhook URL registered, secret configured.</t>
        </is>
      </c>
      <c r="G115" s="19" t="inlineStr">
        <is>
          <t>1. Trigger a successful gate entry (real device or simulator).</t>
        </is>
      </c>
      <c r="H115" s="19" t="inlineStr">
        <is>
          <t>—</t>
        </is>
      </c>
      <c r="I115" s="19" t="inlineStr">
        <is>
          <t>AccessLog row created with tenant attribution, device, timestamp, result=allowed.</t>
        </is>
      </c>
      <c r="J115" s="19" t="inlineStr"/>
      <c r="K115" s="19" t="inlineStr">
        <is>
          <t>Not Run</t>
        </is>
      </c>
      <c r="L115" s="19" t="inlineStr"/>
      <c r="M115" s="19" t="inlineStr"/>
      <c r="N115" s="19" t="inlineStr"/>
      <c r="O115" s="19" t="inlineStr"/>
      <c r="P115" s="19" t="inlineStr"/>
    </row>
    <row r="116" ht="48" customHeight="1">
      <c r="A116" s="5" t="inlineStr">
        <is>
          <t>PDK-006</t>
        </is>
      </c>
      <c r="B116" s="5" t="inlineStr">
        <is>
          <t>PDK Gate</t>
        </is>
      </c>
      <c r="C116" s="5" t="inlineStr">
        <is>
          <t>Webhook — denied</t>
        </is>
      </c>
      <c r="D116" s="5" t="inlineStr">
        <is>
          <t>High</t>
        </is>
      </c>
      <c r="E116" s="5" t="inlineStr">
        <is>
          <t>Denied entry creates denied AccessLog row</t>
        </is>
      </c>
      <c r="F116" s="5" t="inlineStr">
        <is>
          <t>—</t>
        </is>
      </c>
      <c r="G116" s="5" t="inlineStr">
        <is>
          <t>1. Use a disabled credential at a gate.</t>
        </is>
      </c>
      <c r="H116" s="5" t="inlineStr">
        <is>
          <t>—</t>
        </is>
      </c>
      <c r="I116" s="5" t="inlineStr">
        <is>
          <t>AccessLog row created with result=denied.</t>
        </is>
      </c>
      <c r="J116" s="5" t="inlineStr"/>
      <c r="K116" s="5" t="inlineStr">
        <is>
          <t>Not Run</t>
        </is>
      </c>
      <c r="L116" s="5" t="inlineStr"/>
      <c r="M116" s="5" t="inlineStr"/>
      <c r="N116" s="5" t="inlineStr"/>
      <c r="O116" s="5" t="inlineStr"/>
      <c r="P116" s="5" t="inlineStr"/>
    </row>
    <row r="117" ht="48" customHeight="1">
      <c r="A117" s="19" t="inlineStr">
        <is>
          <t>PDK-007</t>
        </is>
      </c>
      <c r="B117" s="19" t="inlineStr">
        <is>
          <t>PDK Gate</t>
        </is>
      </c>
      <c r="C117" s="19" t="inlineStr">
        <is>
          <t>Webhook — visitor</t>
        </is>
      </c>
      <c r="D117" s="19" t="inlineStr">
        <is>
          <t>High</t>
        </is>
      </c>
      <c r="E117" s="19" t="inlineStr">
        <is>
          <t>Visitor PIN entry attributes to visitor pass</t>
        </is>
      </c>
      <c r="F117" s="19" t="inlineStr">
        <is>
          <t>Active visitor pass with known PIN.</t>
        </is>
      </c>
      <c r="G117" s="19" t="inlineStr">
        <is>
          <t>1. Enter visitor PIN at a reader.</t>
        </is>
      </c>
      <c r="H117" s="19" t="inlineStr">
        <is>
          <t>—</t>
        </is>
      </c>
      <c r="I117" s="19" t="inlineStr">
        <is>
          <t>AccessLog row created with visitorAccessId set (tenantId null). Visible in gate-activity report under visitor.</t>
        </is>
      </c>
      <c r="J117" s="19" t="inlineStr"/>
      <c r="K117" s="19" t="inlineStr">
        <is>
          <t>Not Run</t>
        </is>
      </c>
      <c r="L117" s="19" t="inlineStr"/>
      <c r="M117" s="19" t="inlineStr"/>
      <c r="N117" s="19" t="inlineStr"/>
      <c r="O117" s="19" t="inlineStr"/>
      <c r="P117" s="19" t="inlineStr"/>
    </row>
    <row r="118" ht="48" customHeight="1">
      <c r="A118" s="5" t="inlineStr">
        <is>
          <t>PAY-001</t>
        </is>
      </c>
      <c r="B118" s="5" t="inlineStr">
        <is>
          <t>Stripe / Payments</t>
        </is>
      </c>
      <c r="C118" s="5" t="inlineStr">
        <is>
          <t>Autopay charge</t>
        </is>
      </c>
      <c r="D118" s="5" t="inlineStr">
        <is>
          <t>Critical</t>
        </is>
      </c>
      <c r="E118" s="5" t="inlineStr">
        <is>
          <t>Autopay cron charges tenant on billing day</t>
        </is>
      </c>
      <c r="F118" s="5" t="inlineStr">
        <is>
          <t>Tenant with autopayEnabled=true, valid card, lease billingDay = today.</t>
        </is>
      </c>
      <c r="G118" s="5" t="inlineStr">
        <is>
          <t>1. Trigger autopay cron OR wait for natural run.</t>
        </is>
      </c>
      <c r="H118" s="5" t="inlineStr">
        <is>
          <t>—</t>
        </is>
      </c>
      <c r="I118" s="5" t="inlineStr">
        <is>
          <t>Payment processed (status=succeeded). Receipt email sent. Balance reduces. Charge appears in payments report.</t>
        </is>
      </c>
      <c r="J118" s="5" t="inlineStr"/>
      <c r="K118" s="5" t="inlineStr">
        <is>
          <t>Not Run</t>
        </is>
      </c>
      <c r="L118" s="5" t="inlineStr"/>
      <c r="M118" s="5" t="inlineStr"/>
      <c r="N118" s="5" t="inlineStr"/>
      <c r="O118" s="5" t="inlineStr"/>
      <c r="P118" s="5" t="inlineStr"/>
    </row>
    <row r="119" ht="48" customHeight="1">
      <c r="A119" s="19" t="inlineStr">
        <is>
          <t>PAY-002</t>
        </is>
      </c>
      <c r="B119" s="19" t="inlineStr">
        <is>
          <t>Stripe / Payments</t>
        </is>
      </c>
      <c r="C119" s="19" t="inlineStr">
        <is>
          <t>Autopay failure</t>
        </is>
      </c>
      <c r="D119" s="19" t="inlineStr">
        <is>
          <t>High</t>
        </is>
      </c>
      <c r="E119" s="19" t="inlineStr">
        <is>
          <t>Failed autopay sends failure notification</t>
        </is>
      </c>
      <c r="F119" s="19" t="inlineStr">
        <is>
          <t>Tenant with card that triggers failure on future charge.</t>
        </is>
      </c>
      <c r="G119" s="19" t="inlineStr">
        <is>
          <t>1. Trigger autopay cron when due.</t>
        </is>
      </c>
      <c r="H119" s="19" t="inlineStr">
        <is>
          <t>Card 4000 0000 0000 0341</t>
        </is>
      </c>
      <c r="I119" s="19" t="inlineStr">
        <is>
          <t>Payment fails. Status=failed. Failed-payment email sent to tenant. Admin sees the failed entry.</t>
        </is>
      </c>
      <c r="J119" s="19" t="inlineStr"/>
      <c r="K119" s="19" t="inlineStr">
        <is>
          <t>Not Run</t>
        </is>
      </c>
      <c r="L119" s="19" t="inlineStr"/>
      <c r="M119" s="19" t="inlineStr"/>
      <c r="N119" s="19" t="inlineStr"/>
      <c r="O119" s="19" t="inlineStr"/>
      <c r="P119" s="19" t="inlineStr"/>
    </row>
    <row r="120" ht="48" customHeight="1">
      <c r="A120" s="5" t="inlineStr">
        <is>
          <t>PAY-003</t>
        </is>
      </c>
      <c r="B120" s="5" t="inlineStr">
        <is>
          <t>Stripe / Payments</t>
        </is>
      </c>
      <c r="C120" s="5" t="inlineStr">
        <is>
          <t>Refund partial</t>
        </is>
      </c>
      <c r="D120" s="5" t="inlineStr">
        <is>
          <t>Medium</t>
        </is>
      </c>
      <c r="E120" s="5" t="inlineStr">
        <is>
          <t>Partial refund updates balance correctly</t>
        </is>
      </c>
      <c r="F120" s="5" t="inlineStr">
        <is>
          <t>$50 successful payment exists.</t>
        </is>
      </c>
      <c r="G120" s="5" t="inlineStr">
        <is>
          <t>1. Refund $20 of the $50 payment.</t>
        </is>
      </c>
      <c r="H120" s="5" t="inlineStr">
        <is>
          <t>—</t>
        </is>
      </c>
      <c r="I120" s="5" t="inlineStr">
        <is>
          <t>Stripe refund of $20 issued. Tenant balance reflects the partial refund.</t>
        </is>
      </c>
      <c r="J120" s="5" t="inlineStr"/>
      <c r="K120" s="5" t="inlineStr">
        <is>
          <t>Not Run</t>
        </is>
      </c>
      <c r="L120" s="5" t="inlineStr"/>
      <c r="M120" s="5" t="inlineStr"/>
      <c r="N120" s="5" t="inlineStr"/>
      <c r="O120" s="5" t="inlineStr"/>
      <c r="P120" s="5" t="inlineStr"/>
    </row>
    <row r="121" ht="48" customHeight="1">
      <c r="A121" s="19" t="inlineStr">
        <is>
          <t>PAY-004</t>
        </is>
      </c>
      <c r="B121" s="19" t="inlineStr">
        <is>
          <t>Stripe / Payments</t>
        </is>
      </c>
      <c r="C121" s="19" t="inlineStr">
        <is>
          <t>Late fee</t>
        </is>
      </c>
      <c r="D121" s="19" t="inlineStr">
        <is>
          <t>High</t>
        </is>
      </c>
      <c r="E121" s="19" t="inlineStr">
        <is>
          <t>Late fee is added after configured days past due</t>
        </is>
      </c>
      <c r="F121" s="19" t="inlineStr">
        <is>
          <t>Delinquent tenant with unpaid invoice older than lateFeeAfterDays.</t>
        </is>
      </c>
      <c r="G121" s="19" t="inlineStr">
        <is>
          <t>1. Run delinquency cron.</t>
        </is>
      </c>
      <c r="H121" s="19" t="inlineStr">
        <is>
          <t>—</t>
        </is>
      </c>
      <c r="I121" s="19" t="inlineStr">
        <is>
          <t>Late fee charge appears in tenant billing history with type=late_fee. Late notice email sent (per template config).</t>
        </is>
      </c>
      <c r="J121" s="19" t="inlineStr"/>
      <c r="K121" s="19" t="inlineStr">
        <is>
          <t>Not Run</t>
        </is>
      </c>
      <c r="L121" s="19" t="inlineStr"/>
      <c r="M121" s="19" t="inlineStr"/>
      <c r="N121" s="19" t="inlineStr"/>
      <c r="O121" s="19" t="inlineStr"/>
      <c r="P121" s="19" t="inlineStr"/>
    </row>
    <row r="122" ht="48" customHeight="1">
      <c r="A122" s="5" t="inlineStr">
        <is>
          <t>PAY-005</t>
        </is>
      </c>
      <c r="B122" s="5" t="inlineStr">
        <is>
          <t>Stripe / Payments</t>
        </is>
      </c>
      <c r="C122" s="5" t="inlineStr">
        <is>
          <t>Reservation fee charged at move-in</t>
        </is>
      </c>
      <c r="D122" s="5" t="inlineStr">
        <is>
          <t>Medium</t>
        </is>
      </c>
      <c r="E122" s="5" t="inlineStr">
        <is>
          <t>Configured reservation fee is included at move-in</t>
        </is>
      </c>
      <c r="F122" s="5" t="inlineStr">
        <is>
          <t>Unit type has reservation fee &gt; 0.</t>
        </is>
      </c>
      <c r="G122" s="5" t="inlineStr">
        <is>
          <t>1. Complete public move-in.</t>
        </is>
      </c>
      <c r="H122" s="5" t="inlineStr">
        <is>
          <t>—</t>
        </is>
      </c>
      <c r="I122" s="5" t="inlineStr">
        <is>
          <t>Reservation fee line item appears on first invoice (or charged at submission, per setting).</t>
        </is>
      </c>
      <c r="J122" s="5" t="inlineStr"/>
      <c r="K122" s="5" t="inlineStr">
        <is>
          <t>Not Run</t>
        </is>
      </c>
      <c r="L122" s="5" t="inlineStr"/>
      <c r="M122" s="5" t="inlineStr"/>
      <c r="N122" s="5" t="inlineStr"/>
      <c r="O122" s="5" t="inlineStr"/>
      <c r="P122" s="5" t="inlineStr"/>
    </row>
    <row r="123" ht="48" customHeight="1">
      <c r="A123" s="19" t="inlineStr">
        <is>
          <t>PAY-006</t>
        </is>
      </c>
      <c r="B123" s="19" t="inlineStr">
        <is>
          <t>Stripe / Payments</t>
        </is>
      </c>
      <c r="C123" s="19" t="inlineStr">
        <is>
          <t>Multi-unit payment</t>
        </is>
      </c>
      <c r="D123" s="19" t="inlineStr">
        <is>
          <t>Medium</t>
        </is>
      </c>
      <c r="E123" s="19" t="inlineStr">
        <is>
          <t>Tenant with multiple leases can pay all in one checkout</t>
        </is>
      </c>
      <c r="F123" s="19" t="inlineStr">
        <is>
          <t>Tenant has 2 active leases with balances.</t>
        </is>
      </c>
      <c r="G123" s="19" t="inlineStr">
        <is>
          <t>1. /portal/payments/new — select pay multi.
2. Submit.</t>
        </is>
      </c>
      <c r="H123" s="19" t="inlineStr">
        <is>
          <t>—</t>
        </is>
      </c>
      <c r="I123" s="19" t="inlineStr">
        <is>
          <t>Single Stripe charge processes total. Allocations recorded per lease.</t>
        </is>
      </c>
      <c r="J123" s="19" t="inlineStr"/>
      <c r="K123" s="19" t="inlineStr">
        <is>
          <t>Not Run</t>
        </is>
      </c>
      <c r="L123" s="19" t="inlineStr"/>
      <c r="M123" s="19" t="inlineStr"/>
      <c r="N123" s="19" t="inlineStr"/>
      <c r="O123" s="19" t="inlineStr"/>
      <c r="P123" s="19" t="inlineStr"/>
    </row>
    <row r="124" ht="48" customHeight="1">
      <c r="A124" s="5" t="inlineStr">
        <is>
          <t>NTF-001</t>
        </is>
      </c>
      <c r="B124" s="5" t="inlineStr">
        <is>
          <t>Notifications</t>
        </is>
      </c>
      <c r="C124" s="5" t="inlineStr">
        <is>
          <t>Welcome email</t>
        </is>
      </c>
      <c r="D124" s="5" t="inlineStr">
        <is>
          <t>High</t>
        </is>
      </c>
      <c r="E124" s="5" t="inlineStr">
        <is>
          <t>New tenant receives welcome email with credentials</t>
        </is>
      </c>
      <c r="F124" s="5" t="inlineStr">
        <is>
          <t>Just completed move-in.</t>
        </is>
      </c>
      <c r="G124" s="5" t="inlineStr">
        <is>
          <t>1. Check the tester's inbox after move-in.</t>
        </is>
      </c>
      <c r="H124" s="5" t="inlineStr">
        <is>
          <t>—</t>
        </is>
      </c>
      <c r="I124" s="5" t="inlineStr">
        <is>
          <t>Welcome email arrives with portal URL and login credentials.</t>
        </is>
      </c>
      <c r="J124" s="5" t="inlineStr"/>
      <c r="K124" s="5" t="inlineStr">
        <is>
          <t>Not Run</t>
        </is>
      </c>
      <c r="L124" s="5" t="inlineStr"/>
      <c r="M124" s="5" t="inlineStr"/>
      <c r="N124" s="5" t="inlineStr"/>
      <c r="O124" s="5" t="inlineStr"/>
      <c r="P124" s="5" t="inlineStr"/>
    </row>
    <row r="125" ht="48" customHeight="1">
      <c r="A125" s="19" t="inlineStr">
        <is>
          <t>NTF-002</t>
        </is>
      </c>
      <c r="B125" s="19" t="inlineStr">
        <is>
          <t>Notifications</t>
        </is>
      </c>
      <c r="C125" s="19" t="inlineStr">
        <is>
          <t>Payment receipt</t>
        </is>
      </c>
      <c r="D125" s="19" t="inlineStr">
        <is>
          <t>High</t>
        </is>
      </c>
      <c r="E125" s="19" t="inlineStr">
        <is>
          <t>Successful payment triggers receipt email</t>
        </is>
      </c>
      <c r="F125" s="19" t="inlineStr">
        <is>
          <t>Tenant just made a payment.</t>
        </is>
      </c>
      <c r="G125" s="19" t="inlineStr">
        <is>
          <t>1. Check inbox.</t>
        </is>
      </c>
      <c r="H125" s="19" t="inlineStr">
        <is>
          <t>—</t>
        </is>
      </c>
      <c r="I125" s="19" t="inlineStr">
        <is>
          <t>Receipt email arrives with amount, date, and payment method last 4.</t>
        </is>
      </c>
      <c r="J125" s="19" t="inlineStr"/>
      <c r="K125" s="19" t="inlineStr">
        <is>
          <t>Not Run</t>
        </is>
      </c>
      <c r="L125" s="19" t="inlineStr"/>
      <c r="M125" s="19" t="inlineStr"/>
      <c r="N125" s="19" t="inlineStr"/>
      <c r="O125" s="19" t="inlineStr"/>
      <c r="P125" s="19" t="inlineStr"/>
    </row>
    <row r="126" ht="52" customHeight="1">
      <c r="A126" s="5" t="inlineStr">
        <is>
          <t>NTF-003</t>
        </is>
      </c>
      <c r="B126" s="5" t="inlineStr">
        <is>
          <t>Notifications</t>
        </is>
      </c>
      <c r="C126" s="5" t="inlineStr">
        <is>
          <t>Late notice</t>
        </is>
      </c>
      <c r="D126" s="5" t="inlineStr">
        <is>
          <t>High</t>
        </is>
      </c>
      <c r="E126" s="5" t="inlineStr">
        <is>
          <t>Late notice sent on first overdue day</t>
        </is>
      </c>
      <c r="F126" s="5" t="inlineStr">
        <is>
          <t>Tenant with unpaid invoice past lateFeeAfterDays.</t>
        </is>
      </c>
      <c r="G126" s="5" t="inlineStr">
        <is>
          <t>1. Run delinquency cron.</t>
        </is>
      </c>
      <c r="H126" s="5" t="inlineStr">
        <is>
          <t>—</t>
        </is>
      </c>
      <c r="I126" s="5" t="inlineStr">
        <is>
          <t>Late notice email (and SMS if enabled, and print if enabled) sent. Logged in /admin/communications/templates send history.</t>
        </is>
      </c>
      <c r="J126" s="5" t="inlineStr"/>
      <c r="K126" s="5" t="inlineStr">
        <is>
          <t>Not Run</t>
        </is>
      </c>
      <c r="L126" s="5" t="inlineStr"/>
      <c r="M126" s="5" t="inlineStr"/>
      <c r="N126" s="5" t="inlineStr"/>
      <c r="O126" s="5" t="inlineStr"/>
      <c r="P126" s="5" t="inlineStr"/>
    </row>
    <row r="127" ht="48" customHeight="1">
      <c r="A127" s="19" t="inlineStr">
        <is>
          <t>NTF-004</t>
        </is>
      </c>
      <c r="B127" s="19" t="inlineStr">
        <is>
          <t>Notifications</t>
        </is>
      </c>
      <c r="C127" s="19" t="inlineStr">
        <is>
          <t>Rate change</t>
        </is>
      </c>
      <c r="D127" s="19" t="inlineStr">
        <is>
          <t>Medium</t>
        </is>
      </c>
      <c r="E127" s="19" t="inlineStr">
        <is>
          <t>Tenant receives rate-change notification on batch submit</t>
        </is>
      </c>
      <c r="F127" s="19" t="inlineStr">
        <is>
          <t>Admin submits a rate change batch including tenant.</t>
        </is>
      </c>
      <c r="G127" s="19" t="inlineStr">
        <is>
          <t>1. Submit batch with email channel.</t>
        </is>
      </c>
      <c r="H127" s="19" t="inlineStr">
        <is>
          <t>—</t>
        </is>
      </c>
      <c r="I127" s="19" t="inlineStr">
        <is>
          <t>Tenant inbox receives rate change notice with effective date.</t>
        </is>
      </c>
      <c r="J127" s="19" t="inlineStr"/>
      <c r="K127" s="19" t="inlineStr">
        <is>
          <t>Not Run</t>
        </is>
      </c>
      <c r="L127" s="19" t="inlineStr"/>
      <c r="M127" s="19" t="inlineStr"/>
      <c r="N127" s="19" t="inlineStr"/>
      <c r="O127" s="19" t="inlineStr"/>
      <c r="P127" s="19" t="inlineStr"/>
    </row>
    <row r="128" ht="48" customHeight="1">
      <c r="A128" s="5" t="inlineStr">
        <is>
          <t>NTF-005</t>
        </is>
      </c>
      <c r="B128" s="5" t="inlineStr">
        <is>
          <t>Notifications</t>
        </is>
      </c>
      <c r="C128" s="5" t="inlineStr">
        <is>
          <t>Suppression window</t>
        </is>
      </c>
      <c r="D128" s="5" t="inlineStr">
        <is>
          <t>Low</t>
        </is>
      </c>
      <c r="E128" s="5" t="inlineStr">
        <is>
          <t>Notifications are suppressed during configured holiday window</t>
        </is>
      </c>
      <c r="F128" s="5" t="inlineStr">
        <is>
          <t>Settings configured to suppress 1 day window covering today.</t>
        </is>
      </c>
      <c r="G128" s="5" t="inlineStr">
        <is>
          <t>1. Run delinquency cron during suppression window.</t>
        </is>
      </c>
      <c r="H128" s="5" t="inlineStr">
        <is>
          <t>—</t>
        </is>
      </c>
      <c r="I128" s="5" t="inlineStr">
        <is>
          <t>No notifications go out for that window. Resumes after window.</t>
        </is>
      </c>
      <c r="J128" s="5" t="inlineStr"/>
      <c r="K128" s="5" t="inlineStr">
        <is>
          <t>Not Run</t>
        </is>
      </c>
      <c r="L128" s="5" t="inlineStr"/>
      <c r="M128" s="5" t="inlineStr"/>
      <c r="N128" s="5" t="inlineStr"/>
      <c r="O128" s="5" t="inlineStr"/>
      <c r="P128" s="5" t="inlineStr"/>
    </row>
    <row r="129" ht="48" customHeight="1">
      <c r="A129" s="19" t="inlineStr">
        <is>
          <t>NTF-006</t>
        </is>
      </c>
      <c r="B129" s="19" t="inlineStr">
        <is>
          <t>Notifications</t>
        </is>
      </c>
      <c r="C129" s="19" t="inlineStr">
        <is>
          <t>SMS opt-out</t>
        </is>
      </c>
      <c r="D129" s="19" t="inlineStr">
        <is>
          <t>Medium</t>
        </is>
      </c>
      <c r="E129" s="19" t="inlineStr">
        <is>
          <t>Tenant opt-out blocks SMS notifications</t>
        </is>
      </c>
      <c r="F129" s="19" t="inlineStr">
        <is>
          <t>Tenant with smsOptIn=false.</t>
        </is>
      </c>
      <c r="G129" s="19" t="inlineStr">
        <is>
          <t>1. Trigger an SMS-channel notification for the tenant.</t>
        </is>
      </c>
      <c r="H129" s="19" t="inlineStr">
        <is>
          <t>—</t>
        </is>
      </c>
      <c r="I129" s="19" t="inlineStr">
        <is>
          <t>Email is sent. SMS is NOT sent.</t>
        </is>
      </c>
      <c r="J129" s="19" t="inlineStr"/>
      <c r="K129" s="19" t="inlineStr">
        <is>
          <t>Not Run</t>
        </is>
      </c>
      <c r="L129" s="19" t="inlineStr"/>
      <c r="M129" s="19" t="inlineStr"/>
      <c r="N129" s="19" t="inlineStr"/>
      <c r="O129" s="19" t="inlineStr"/>
      <c r="P129" s="19" t="inlineStr"/>
    </row>
    <row r="130" ht="48" customHeight="1">
      <c r="A130" s="5" t="inlineStr">
        <is>
          <t>WAIT-001</t>
        </is>
      </c>
      <c r="B130" s="5" t="inlineStr">
        <is>
          <t>Waiting List</t>
        </is>
      </c>
      <c r="C130" s="5" t="inlineStr">
        <is>
          <t>Admin view</t>
        </is>
      </c>
      <c r="D130" s="5" t="inlineStr">
        <is>
          <t>Medium</t>
        </is>
      </c>
      <c r="E130" s="5" t="inlineStr">
        <is>
          <t>Waiting list entries are visible to admin</t>
        </is>
      </c>
      <c r="F130" s="5" t="inlineStr">
        <is>
          <t>Public waitlist submission exists.</t>
        </is>
      </c>
      <c r="G130" s="5" t="inlineStr">
        <is>
          <t>1. Navigate to /admin/waiting-list.</t>
        </is>
      </c>
      <c r="H130" s="5" t="inlineStr">
        <is>
          <t>—</t>
        </is>
      </c>
      <c r="I130" s="5" t="inlineStr">
        <is>
          <t>Entries listed with name, requested size, status, join date.</t>
        </is>
      </c>
      <c r="J130" s="5" t="inlineStr"/>
      <c r="K130" s="5" t="inlineStr">
        <is>
          <t>Not Run</t>
        </is>
      </c>
      <c r="L130" s="5" t="inlineStr"/>
      <c r="M130" s="5" t="inlineStr"/>
      <c r="N130" s="5" t="inlineStr"/>
      <c r="O130" s="5" t="inlineStr"/>
      <c r="P130" s="5" t="inlineStr"/>
    </row>
    <row r="131" ht="48" customHeight="1">
      <c r="A131" s="19" t="inlineStr">
        <is>
          <t>WAIT-002</t>
        </is>
      </c>
      <c r="B131" s="19" t="inlineStr">
        <is>
          <t>Waiting List</t>
        </is>
      </c>
      <c r="C131" s="19" t="inlineStr">
        <is>
          <t>Notify</t>
        </is>
      </c>
      <c r="D131" s="19" t="inlineStr">
        <is>
          <t>Medium</t>
        </is>
      </c>
      <c r="E131" s="19" t="inlineStr">
        <is>
          <t>Admin can notify a waitlist member of availability</t>
        </is>
      </c>
      <c r="F131" s="19" t="inlineStr">
        <is>
          <t>Waitlist entry exists. Matching unit available.</t>
        </is>
      </c>
      <c r="G131" s="19" t="inlineStr">
        <is>
          <t>1. Open entry → Notify.</t>
        </is>
      </c>
      <c r="H131" s="19" t="inlineStr">
        <is>
          <t>—</t>
        </is>
      </c>
      <c r="I131" s="19" t="inlineStr">
        <is>
          <t>Notification email is sent. Entry status changes to notified.</t>
        </is>
      </c>
      <c r="J131" s="19" t="inlineStr"/>
      <c r="K131" s="19" t="inlineStr">
        <is>
          <t>Not Run</t>
        </is>
      </c>
      <c r="L131" s="19" t="inlineStr"/>
      <c r="M131" s="19" t="inlineStr"/>
      <c r="N131" s="19" t="inlineStr"/>
      <c r="O131" s="19" t="inlineStr"/>
      <c r="P131" s="19" t="inlineStr"/>
    </row>
    <row r="132" ht="48" customHeight="1">
      <c r="A132" s="5" t="inlineStr">
        <is>
          <t>WAIT-003</t>
        </is>
      </c>
      <c r="B132" s="5" t="inlineStr">
        <is>
          <t>Waiting List</t>
        </is>
      </c>
      <c r="C132" s="5" t="inlineStr">
        <is>
          <t>Convert</t>
        </is>
      </c>
      <c r="D132" s="5" t="inlineStr">
        <is>
          <t>Medium</t>
        </is>
      </c>
      <c r="E132" s="5" t="inlineStr">
        <is>
          <t>Admin can convert waitlist entry to a tenant</t>
        </is>
      </c>
      <c r="F132" s="5" t="inlineStr">
        <is>
          <t>Waitlist entry exists.</t>
        </is>
      </c>
      <c r="G132" s="5" t="inlineStr">
        <is>
          <t>1. Open entry → Convert.
2. Fill remaining fields, assign unit, submit.</t>
        </is>
      </c>
      <c r="H132" s="5" t="inlineStr">
        <is>
          <t>—</t>
        </is>
      </c>
      <c r="I132" s="5" t="inlineStr">
        <is>
          <t>Tenant + lease created from the waitlist data. Entry status = converted.</t>
        </is>
      </c>
      <c r="J132" s="5" t="inlineStr"/>
      <c r="K132" s="5" t="inlineStr">
        <is>
          <t>Not Run</t>
        </is>
      </c>
      <c r="L132" s="5" t="inlineStr"/>
      <c r="M132" s="5" t="inlineStr"/>
      <c r="N132" s="5" t="inlineStr"/>
      <c r="O132" s="5" t="inlineStr"/>
      <c r="P132" s="5" t="inlineStr"/>
    </row>
    <row r="133" ht="48" customHeight="1">
      <c r="A133" s="19" t="inlineStr">
        <is>
          <t>MOUT-001</t>
        </is>
      </c>
      <c r="B133" s="19" t="inlineStr">
        <is>
          <t>Move-Out</t>
        </is>
      </c>
      <c r="C133" s="19" t="inlineStr">
        <is>
          <t>Tenant request</t>
        </is>
      </c>
      <c r="D133" s="19" t="inlineStr">
        <is>
          <t>High</t>
        </is>
      </c>
      <c r="E133" s="19" t="inlineStr">
        <is>
          <t>Tenant submits move-out request</t>
        </is>
      </c>
      <c r="F133" s="19" t="inlineStr">
        <is>
          <t>Tenant logged in with active lease.</t>
        </is>
      </c>
      <c r="G133" s="19" t="inlineStr">
        <is>
          <t>1. /portal/move-out → pick lease, date, submit.</t>
        </is>
      </c>
      <c r="H133" s="19" t="inlineStr">
        <is>
          <t>Move-out 7 days out</t>
        </is>
      </c>
      <c r="I133" s="19" t="inlineStr">
        <is>
          <t>Request submitted. Admin notified. Status pending_moveout.</t>
        </is>
      </c>
      <c r="J133" s="19" t="inlineStr"/>
      <c r="K133" s="19" t="inlineStr">
        <is>
          <t>Not Run</t>
        </is>
      </c>
      <c r="L133" s="19" t="inlineStr"/>
      <c r="M133" s="19" t="inlineStr"/>
      <c r="N133" s="19" t="inlineStr"/>
      <c r="O133" s="19" t="inlineStr"/>
      <c r="P133" s="19" t="inlineStr"/>
    </row>
    <row r="134" ht="48" customHeight="1">
      <c r="A134" s="5" t="inlineStr">
        <is>
          <t>MOUT-002</t>
        </is>
      </c>
      <c r="B134" s="5" t="inlineStr">
        <is>
          <t>Move-Out</t>
        </is>
      </c>
      <c r="C134" s="5" t="inlineStr">
        <is>
          <t>Final settlement</t>
        </is>
      </c>
      <c r="D134" s="5" t="inlineStr">
        <is>
          <t>Critical</t>
        </is>
      </c>
      <c r="E134" s="5" t="inlineStr">
        <is>
          <t>Admin can finalize and compute final balance</t>
        </is>
      </c>
      <c r="F134" s="5" t="inlineStr">
        <is>
          <t>Pending move-out exists.</t>
        </is>
      </c>
      <c r="G134" s="5" t="inlineStr">
        <is>
          <t>1. /admin/move-out → open tenant → review charges → Finalize.</t>
        </is>
      </c>
      <c r="H134" s="5" t="inlineStr">
        <is>
          <t>—</t>
        </is>
      </c>
      <c r="I134" s="5" t="inlineStr">
        <is>
          <t>Final balance calculated. Receipt generated and emailed. Unit returns to available. Tenant.gate access revoked.</t>
        </is>
      </c>
      <c r="J134" s="5" t="inlineStr"/>
      <c r="K134" s="5" t="inlineStr">
        <is>
          <t>Not Run</t>
        </is>
      </c>
      <c r="L134" s="5" t="inlineStr"/>
      <c r="M134" s="5" t="inlineStr"/>
      <c r="N134" s="5" t="inlineStr"/>
      <c r="O134" s="5" t="inlineStr"/>
      <c r="P134" s="5" t="inlineStr"/>
    </row>
    <row r="135" ht="48" customHeight="1">
      <c r="A135" s="19" t="inlineStr">
        <is>
          <t>MOUT-003</t>
        </is>
      </c>
      <c r="B135" s="19" t="inlineStr">
        <is>
          <t>Move-Out</t>
        </is>
      </c>
      <c r="C135" s="19" t="inlineStr">
        <is>
          <t>Photo upload</t>
        </is>
      </c>
      <c r="D135" s="19" t="inlineStr">
        <is>
          <t>Low</t>
        </is>
      </c>
      <c r="E135" s="19" t="inlineStr">
        <is>
          <t>Tenant can upload photos during move-out</t>
        </is>
      </c>
      <c r="F135" s="19" t="inlineStr">
        <is>
          <t>On portal move-out screen.</t>
        </is>
      </c>
      <c r="G135" s="19" t="inlineStr">
        <is>
          <t>1. Upload 2 photos.
2. Continue.</t>
        </is>
      </c>
      <c r="H135" s="19" t="inlineStr">
        <is>
          <t>Any small JPGs</t>
        </is>
      </c>
      <c r="I135" s="19" t="inlineStr">
        <is>
          <t>Upload succeeds. Files visible on admin move-out page.</t>
        </is>
      </c>
      <c r="J135" s="19" t="inlineStr"/>
      <c r="K135" s="19" t="inlineStr">
        <is>
          <t>Not Run</t>
        </is>
      </c>
      <c r="L135" s="19" t="inlineStr"/>
      <c r="M135" s="19" t="inlineStr"/>
      <c r="N135" s="19" t="inlineStr"/>
      <c r="O135" s="19" t="inlineStr"/>
      <c r="P135" s="19" t="inlineStr"/>
    </row>
    <row r="136" ht="48" customHeight="1">
      <c r="A136" s="5" t="inlineStr">
        <is>
          <t>MOUT-004</t>
        </is>
      </c>
      <c r="B136" s="5" t="inlineStr">
        <is>
          <t>Move-Out</t>
        </is>
      </c>
      <c r="C136" s="5" t="inlineStr">
        <is>
          <t>Refund owed</t>
        </is>
      </c>
      <c r="D136" s="5" t="inlineStr">
        <is>
          <t>Medium</t>
        </is>
      </c>
      <c r="E136" s="5" t="inlineStr">
        <is>
          <t>Refund-owed move-out routes admin to refund flow</t>
        </is>
      </c>
      <c r="F136" s="5" t="inlineStr">
        <is>
          <t>Move-out resulting in negative balance.</t>
        </is>
      </c>
      <c r="G136" s="5" t="inlineStr">
        <is>
          <t>1. Finalize a move-out with credit &gt; charges.</t>
        </is>
      </c>
      <c r="H136" s="5" t="inlineStr">
        <is>
          <t>—</t>
        </is>
      </c>
      <c r="I136" s="5" t="inlineStr">
        <is>
          <t>Final receipt shows refund owed. Admin can issue refund via standard refund flow.</t>
        </is>
      </c>
      <c r="J136" s="5" t="inlineStr"/>
      <c r="K136" s="5" t="inlineStr">
        <is>
          <t>Not Run</t>
        </is>
      </c>
      <c r="L136" s="5" t="inlineStr"/>
      <c r="M136" s="5" t="inlineStr"/>
      <c r="N136" s="5" t="inlineStr"/>
      <c r="O136" s="5" t="inlineStr"/>
      <c r="P136" s="5" t="inlineStr"/>
    </row>
    <row r="137" ht="48" customHeight="1">
      <c r="A137" s="19" t="inlineStr">
        <is>
          <t>RET-001</t>
        </is>
      </c>
      <c r="B137" s="19" t="inlineStr">
        <is>
          <t>Retail</t>
        </is>
      </c>
      <c r="C137" s="19" t="inlineStr">
        <is>
          <t>Walk-in sale (cash)</t>
        </is>
      </c>
      <c r="D137" s="19" t="inlineStr">
        <is>
          <t>Medium</t>
        </is>
      </c>
      <c r="E137" s="19" t="inlineStr">
        <is>
          <t>Admin can ring up a walk-in sale to a non-tenant</t>
        </is>
      </c>
      <c r="F137" s="19" t="inlineStr">
        <is>
          <t>At least one product with stock.</t>
        </is>
      </c>
      <c r="G137" s="19" t="inlineStr">
        <is>
          <t>1. /admin/retail → New walk-in sale → select product, qty, cash → submit.</t>
        </is>
      </c>
      <c r="H137" s="19" t="inlineStr">
        <is>
          <t>1x product</t>
        </is>
      </c>
      <c r="I137" s="19" t="inlineStr">
        <is>
          <t>Sale recorded. Inventory decremented. Receipt generated.</t>
        </is>
      </c>
      <c r="J137" s="19" t="inlineStr"/>
      <c r="K137" s="19" t="inlineStr">
        <is>
          <t>Not Run</t>
        </is>
      </c>
      <c r="L137" s="19" t="inlineStr"/>
      <c r="M137" s="19" t="inlineStr"/>
      <c r="N137" s="19" t="inlineStr"/>
      <c r="O137" s="19" t="inlineStr"/>
      <c r="P137" s="19" t="inlineStr"/>
    </row>
    <row r="138" ht="48" customHeight="1">
      <c r="A138" s="5" t="inlineStr">
        <is>
          <t>RET-002</t>
        </is>
      </c>
      <c r="B138" s="5" t="inlineStr">
        <is>
          <t>Retail</t>
        </is>
      </c>
      <c r="C138" s="5" t="inlineStr">
        <is>
          <t>Walk-in sale (card)</t>
        </is>
      </c>
      <c r="D138" s="5" t="inlineStr">
        <is>
          <t>Medium</t>
        </is>
      </c>
      <c r="E138" s="5" t="inlineStr">
        <is>
          <t>Admin can ring up a walk-in sale to a non-tenant via card</t>
        </is>
      </c>
      <c r="F138" s="5" t="inlineStr">
        <is>
          <t>Stripe configured.</t>
        </is>
      </c>
      <c r="G138" s="5" t="inlineStr">
        <is>
          <t>1. Walk-in sale → card → enter test card → submit.</t>
        </is>
      </c>
      <c r="H138" s="5" t="inlineStr">
        <is>
          <t>Test card 4242 4242 4242 4242</t>
        </is>
      </c>
      <c r="I138" s="5" t="inlineStr">
        <is>
          <t>Charge succeeds. Receipt generated. Sale appears in retail report.</t>
        </is>
      </c>
      <c r="J138" s="5" t="inlineStr"/>
      <c r="K138" s="5" t="inlineStr">
        <is>
          <t>Not Run</t>
        </is>
      </c>
      <c r="L138" s="5" t="inlineStr"/>
      <c r="M138" s="5" t="inlineStr"/>
      <c r="N138" s="5" t="inlineStr"/>
      <c r="O138" s="5" t="inlineStr"/>
      <c r="P138" s="5" t="inlineStr"/>
    </row>
    <row r="139" ht="48" customHeight="1">
      <c r="A139" s="19" t="inlineStr">
        <is>
          <t>RET-003</t>
        </is>
      </c>
      <c r="B139" s="19" t="inlineStr">
        <is>
          <t>Retail</t>
        </is>
      </c>
      <c r="C139" s="19" t="inlineStr">
        <is>
          <t>Walk-in to tenant</t>
        </is>
      </c>
      <c r="D139" s="19" t="inlineStr">
        <is>
          <t>Medium</t>
        </is>
      </c>
      <c r="E139" s="19" t="inlineStr">
        <is>
          <t>Sale to existing tenant adds to their balance</t>
        </is>
      </c>
      <c r="F139" s="19" t="inlineStr">
        <is>
          <t>Tenant with active account.</t>
        </is>
      </c>
      <c r="G139" s="19" t="inlineStr">
        <is>
          <t>1. Walk-in tenant sale → pick tenant → product → submit.</t>
        </is>
      </c>
      <c r="H139" s="19" t="inlineStr">
        <is>
          <t>Tenant: john@example.com, qty 1</t>
        </is>
      </c>
      <c r="I139" s="19" t="inlineStr">
        <is>
          <t>Charge appears on tenant balance. Inventory decremented.</t>
        </is>
      </c>
      <c r="J139" s="19" t="inlineStr"/>
      <c r="K139" s="19" t="inlineStr">
        <is>
          <t>Not Run</t>
        </is>
      </c>
      <c r="L139" s="19" t="inlineStr"/>
      <c r="M139" s="19" t="inlineStr"/>
      <c r="N139" s="19" t="inlineStr"/>
      <c r="O139" s="19" t="inlineStr"/>
      <c r="P139" s="19" t="inlineStr"/>
    </row>
    <row r="140" ht="48" customHeight="1">
      <c r="A140" s="5" t="inlineStr">
        <is>
          <t>RET-004</t>
        </is>
      </c>
      <c r="B140" s="5" t="inlineStr">
        <is>
          <t>Retail</t>
        </is>
      </c>
      <c r="C140" s="5" t="inlineStr">
        <is>
          <t>Inventory adjust</t>
        </is>
      </c>
      <c r="D140" s="5" t="inlineStr">
        <is>
          <t>Low</t>
        </is>
      </c>
      <c r="E140" s="5" t="inlineStr">
        <is>
          <t>Admin can adjust inventory with reason</t>
        </is>
      </c>
      <c r="F140" s="5" t="inlineStr">
        <is>
          <t>Existing product.</t>
        </is>
      </c>
      <c r="G140" s="5" t="inlineStr">
        <is>
          <t>1. Adjust inventory → reason 'damage' → -1.</t>
        </is>
      </c>
      <c r="H140" s="5" t="inlineStr">
        <is>
          <t>—</t>
        </is>
      </c>
      <c r="I140" s="5" t="inlineStr">
        <is>
          <t>Stock decremented. History entry recorded with reason and admin.</t>
        </is>
      </c>
      <c r="J140" s="5" t="inlineStr"/>
      <c r="K140" s="5" t="inlineStr">
        <is>
          <t>Not Run</t>
        </is>
      </c>
      <c r="L140" s="5" t="inlineStr"/>
      <c r="M140" s="5" t="inlineStr"/>
      <c r="N140" s="5" t="inlineStr"/>
      <c r="O140" s="5" t="inlineStr"/>
      <c r="P140" s="5" t="inlineStr"/>
    </row>
    <row r="141" ht="48" customHeight="1">
      <c r="A141" s="19" t="inlineStr">
        <is>
          <t>XCUT-001</t>
        </is>
      </c>
      <c r="B141" s="19" t="inlineStr">
        <is>
          <t>Cross-cutting</t>
        </is>
      </c>
      <c r="C141" s="19" t="inlineStr">
        <is>
          <t>Mobile portal</t>
        </is>
      </c>
      <c r="D141" s="19" t="inlineStr">
        <is>
          <t>High</t>
        </is>
      </c>
      <c r="E141" s="19" t="inlineStr">
        <is>
          <t>Tenant portal is usable on mobile</t>
        </is>
      </c>
      <c r="F141" s="19" t="inlineStr">
        <is>
          <t>Mobile device or DevTools mobile emulation.</t>
        </is>
      </c>
      <c r="G141" s="19" t="inlineStr">
        <is>
          <t>1. Open /portal on iPhone-size viewport.
2. Navigate dashboard, billing, payments, gate code.</t>
        </is>
      </c>
      <c r="H141" s="19" t="inlineStr">
        <is>
          <t>—</t>
        </is>
      </c>
      <c r="I141" s="19" t="inlineStr">
        <is>
          <t>Layout adapts. All key actions reachable without horizontal scrolling. Buttons are tap-friendly.</t>
        </is>
      </c>
      <c r="J141" s="19" t="inlineStr"/>
      <c r="K141" s="19" t="inlineStr">
        <is>
          <t>Not Run</t>
        </is>
      </c>
      <c r="L141" s="19" t="inlineStr"/>
      <c r="M141" s="19" t="inlineStr"/>
      <c r="N141" s="19" t="inlineStr"/>
      <c r="O141" s="19" t="inlineStr"/>
      <c r="P141" s="19" t="inlineStr"/>
    </row>
    <row r="142" ht="48" customHeight="1">
      <c r="A142" s="5" t="inlineStr">
        <is>
          <t>XCUT-002</t>
        </is>
      </c>
      <c r="B142" s="5" t="inlineStr">
        <is>
          <t>Cross-cutting</t>
        </is>
      </c>
      <c r="C142" s="5" t="inlineStr">
        <is>
          <t>Mobile move-in</t>
        </is>
      </c>
      <c r="D142" s="5" t="inlineStr">
        <is>
          <t>High</t>
        </is>
      </c>
      <c r="E142" s="5" t="inlineStr">
        <is>
          <t>Move-in funnel completes on mobile</t>
        </is>
      </c>
      <c r="F142" s="5" t="inlineStr">
        <is>
          <t>Mobile viewport.</t>
        </is>
      </c>
      <c r="G142" s="5" t="inlineStr">
        <is>
          <t>1. Full move-in flow on mobile.</t>
        </is>
      </c>
      <c r="H142" s="5" t="inlineStr">
        <is>
          <t>—</t>
        </is>
      </c>
      <c r="I142" s="5" t="inlineStr">
        <is>
          <t>All steps complete. Stripe CardElement works on mobile. Signature pad works with touch.</t>
        </is>
      </c>
      <c r="J142" s="5" t="inlineStr"/>
      <c r="K142" s="5" t="inlineStr">
        <is>
          <t>Not Run</t>
        </is>
      </c>
      <c r="L142" s="5" t="inlineStr"/>
      <c r="M142" s="5" t="inlineStr"/>
      <c r="N142" s="5" t="inlineStr"/>
      <c r="O142" s="5" t="inlineStr"/>
      <c r="P142" s="5" t="inlineStr"/>
    </row>
    <row r="143" ht="48" customHeight="1">
      <c r="A143" s="19" t="inlineStr">
        <is>
          <t>XCUT-003</t>
        </is>
      </c>
      <c r="B143" s="19" t="inlineStr">
        <is>
          <t>Cross-cutting</t>
        </is>
      </c>
      <c r="C143" s="19" t="inlineStr">
        <is>
          <t>Browser support</t>
        </is>
      </c>
      <c r="D143" s="19" t="inlineStr">
        <is>
          <t>Medium</t>
        </is>
      </c>
      <c r="E143" s="19" t="inlineStr">
        <is>
          <t>Portal and admin work on Safari and Edge</t>
        </is>
      </c>
      <c r="F143" s="19" t="inlineStr">
        <is>
          <t>Safari (Mac/iOS) and Edge (Win).</t>
        </is>
      </c>
      <c r="G143" s="19" t="inlineStr">
        <is>
          <t>1. Repeat key flows on each browser.</t>
        </is>
      </c>
      <c r="H143" s="19" t="inlineStr">
        <is>
          <t>—</t>
        </is>
      </c>
      <c r="I143" s="19" t="inlineStr">
        <is>
          <t>No visual or functional regressions vs Chrome.</t>
        </is>
      </c>
      <c r="J143" s="19" t="inlineStr"/>
      <c r="K143" s="19" t="inlineStr">
        <is>
          <t>Not Run</t>
        </is>
      </c>
      <c r="L143" s="19" t="inlineStr"/>
      <c r="M143" s="19" t="inlineStr"/>
      <c r="N143" s="19" t="inlineStr"/>
      <c r="O143" s="19" t="inlineStr"/>
      <c r="P143" s="19" t="inlineStr"/>
    </row>
    <row r="144" ht="48" customHeight="1">
      <c r="A144" s="5" t="inlineStr">
        <is>
          <t>XCUT-004</t>
        </is>
      </c>
      <c r="B144" s="5" t="inlineStr">
        <is>
          <t>Cross-cutting</t>
        </is>
      </c>
      <c r="C144" s="5" t="inlineStr">
        <is>
          <t>404 handling</t>
        </is>
      </c>
      <c r="D144" s="5" t="inlineStr">
        <is>
          <t>Low</t>
        </is>
      </c>
      <c r="E144" s="5" t="inlineStr">
        <is>
          <t>Unknown URLs show a friendly 404</t>
        </is>
      </c>
      <c r="F144" s="5" t="inlineStr">
        <is>
          <t>—</t>
        </is>
      </c>
      <c r="G144" s="5" t="inlineStr">
        <is>
          <t>1. Open a non-existent URL.</t>
        </is>
      </c>
      <c r="H144" s="5" t="inlineStr">
        <is>
          <t>—</t>
        </is>
      </c>
      <c r="I144" s="5" t="inlineStr">
        <is>
          <t>404 page is shown with branding and link back to home.</t>
        </is>
      </c>
      <c r="J144" s="5" t="inlineStr"/>
      <c r="K144" s="5" t="inlineStr">
        <is>
          <t>Not Run</t>
        </is>
      </c>
      <c r="L144" s="5" t="inlineStr"/>
      <c r="M144" s="5" t="inlineStr"/>
      <c r="N144" s="5" t="inlineStr"/>
      <c r="O144" s="5" t="inlineStr"/>
      <c r="P144" s="5" t="inlineStr"/>
    </row>
    <row r="145" ht="48" customHeight="1">
      <c r="A145" s="19" t="inlineStr">
        <is>
          <t>XCUT-005</t>
        </is>
      </c>
      <c r="B145" s="19" t="inlineStr">
        <is>
          <t>Cross-cutting</t>
        </is>
      </c>
      <c r="C145" s="19" t="inlineStr">
        <is>
          <t>HTTPS only</t>
        </is>
      </c>
      <c r="D145" s="19" t="inlineStr">
        <is>
          <t>Medium</t>
        </is>
      </c>
      <c r="E145" s="19" t="inlineStr">
        <is>
          <t>Site is served over HTTPS</t>
        </is>
      </c>
      <c r="F145" s="19" t="inlineStr">
        <is>
          <t>—</t>
        </is>
      </c>
      <c r="G145" s="19" t="inlineStr">
        <is>
          <t>1. Open production URL.</t>
        </is>
      </c>
      <c r="H145" s="19" t="inlineStr">
        <is>
          <t>—</t>
        </is>
      </c>
      <c r="I145" s="19" t="inlineStr">
        <is>
          <t>Browser shows secure lock. HTTP requests redirect to HTTPS.</t>
        </is>
      </c>
      <c r="J145" s="19" t="inlineStr"/>
      <c r="K145" s="19" t="inlineStr">
        <is>
          <t>Not Run</t>
        </is>
      </c>
      <c r="L145" s="19" t="inlineStr"/>
      <c r="M145" s="19" t="inlineStr"/>
      <c r="N145" s="19" t="inlineStr"/>
      <c r="O145" s="19" t="inlineStr"/>
      <c r="P145" s="19" t="inlineStr"/>
    </row>
    <row r="146" ht="48" customHeight="1">
      <c r="A146" s="5" t="inlineStr">
        <is>
          <t>XCUT-006</t>
        </is>
      </c>
      <c r="B146" s="5" t="inlineStr">
        <is>
          <t>Cross-cutting</t>
        </is>
      </c>
      <c r="C146" s="5" t="inlineStr">
        <is>
          <t>Auth on admin APIs</t>
        </is>
      </c>
      <c r="D146" s="5" t="inlineStr">
        <is>
          <t>Critical</t>
        </is>
      </c>
      <c r="E146" s="5" t="inlineStr">
        <is>
          <t>Admin APIs reject unauthenticated requests</t>
        </is>
      </c>
      <c r="F146" s="5" t="inlineStr">
        <is>
          <t>—</t>
        </is>
      </c>
      <c r="G146" s="5" t="inlineStr">
        <is>
          <t>1. Hit /api/admin/tenants without session.</t>
        </is>
      </c>
      <c r="H146" s="5" t="inlineStr">
        <is>
          <t>—</t>
        </is>
      </c>
      <c r="I146" s="5" t="inlineStr">
        <is>
          <t>401/403 response. No data leaked.</t>
        </is>
      </c>
      <c r="J146" s="5" t="inlineStr"/>
      <c r="K146" s="5" t="inlineStr">
        <is>
          <t>Not Run</t>
        </is>
      </c>
      <c r="L146" s="5" t="inlineStr"/>
      <c r="M146" s="5" t="inlineStr"/>
      <c r="N146" s="5" t="inlineStr"/>
      <c r="O146" s="5" t="inlineStr"/>
      <c r="P146" s="5" t="inlineStr"/>
    </row>
    <row r="147" ht="48" customHeight="1">
      <c r="A147" s="19" t="inlineStr">
        <is>
          <t>XCUT-007</t>
        </is>
      </c>
      <c r="B147" s="19" t="inlineStr">
        <is>
          <t>Cross-cutting</t>
        </is>
      </c>
      <c r="C147" s="19" t="inlineStr">
        <is>
          <t>Role check on admin APIs</t>
        </is>
      </c>
      <c r="D147" s="19" t="inlineStr">
        <is>
          <t>Critical</t>
        </is>
      </c>
      <c r="E147" s="19" t="inlineStr">
        <is>
          <t>Tenant role cannot call admin APIs</t>
        </is>
      </c>
      <c r="F147" s="19" t="inlineStr">
        <is>
          <t>Tenant session token.</t>
        </is>
      </c>
      <c r="G147" s="19" t="inlineStr">
        <is>
          <t>1. Call admin API with tenant session.</t>
        </is>
      </c>
      <c r="H147" s="19" t="inlineStr">
        <is>
          <t>—</t>
        </is>
      </c>
      <c r="I147" s="19" t="inlineStr">
        <is>
          <t>403 response. No data leaked.</t>
        </is>
      </c>
      <c r="J147" s="19" t="inlineStr"/>
      <c r="K147" s="19" t="inlineStr">
        <is>
          <t>Not Run</t>
        </is>
      </c>
      <c r="L147" s="19" t="inlineStr"/>
      <c r="M147" s="19" t="inlineStr"/>
      <c r="N147" s="19" t="inlineStr"/>
      <c r="O147" s="19" t="inlineStr"/>
      <c r="P147" s="19" t="inlineStr"/>
    </row>
  </sheetData>
  <autoFilter ref="A1:P147"/>
  <conditionalFormatting sqref="K2:K147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3">
    <dataValidation sqref="K2:K147" showDropDown="0" showInputMessage="0" showErrorMessage="0" allowBlank="1" errorTitle="Invalid status" error="Pick one: Not Run, Pass, Fail, Blocked, N/A" type="list">
      <formula1>"Not Run,Pass,Fail,Blocked,N/A"</formula1>
    </dataValidation>
    <dataValidation sqref="L2:L147" showDropDown="0" showInputMessage="0" showErrorMessage="0" allowBlank="1" type="list">
      <formula1>"Critical,High,Medium,Low"</formula1>
    </dataValidation>
    <dataValidation sqref="D2:D147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8" customWidth="1" min="3" max="3"/>
    <col width="35" customWidth="1" min="4" max="4"/>
    <col width="11" customWidth="1" min="5" max="5"/>
    <col width="14" customWidth="1" min="6" max="6"/>
    <col width="45" customWidth="1" min="7" max="7"/>
    <col width="35" customWidth="1" min="8" max="8"/>
    <col width="35" customWidth="1" min="9" max="9"/>
    <col width="22" customWidth="1" min="10" max="10"/>
    <col width="16" customWidth="1" min="11" max="11"/>
    <col width="14" customWidth="1" min="12" max="12"/>
    <col width="16" customWidth="1" min="13" max="13"/>
    <col width="35" customWidth="1" min="14" max="14"/>
    <col width="16" customWidth="1" min="15" max="15"/>
    <col width="14" customWidth="1" min="16" max="16"/>
  </cols>
  <sheetData>
    <row r="1" ht="36" customHeight="1">
      <c r="A1" s="6" t="inlineStr">
        <is>
          <t>Defect ID</t>
        </is>
      </c>
      <c r="B1" s="6" t="inlineStr">
        <is>
          <t>Linked Test ID</t>
        </is>
      </c>
      <c r="C1" s="6" t="inlineStr">
        <is>
          <t>Module</t>
        </is>
      </c>
      <c r="D1" s="6" t="inlineStr">
        <is>
          <t>Title</t>
        </is>
      </c>
      <c r="E1" s="6" t="inlineStr">
        <is>
          <t>Severity</t>
        </is>
      </c>
      <c r="F1" s="6" t="inlineStr">
        <is>
          <t>Status</t>
        </is>
      </c>
      <c r="G1" s="6" t="inlineStr">
        <is>
          <t>Steps to Reproduce</t>
        </is>
      </c>
      <c r="H1" s="6" t="inlineStr">
        <is>
          <t>Expected</t>
        </is>
      </c>
      <c r="I1" s="6" t="inlineStr">
        <is>
          <t>Actual</t>
        </is>
      </c>
      <c r="J1" s="6" t="inlineStr">
        <is>
          <t>Environment / Browser</t>
        </is>
      </c>
      <c r="K1" s="6" t="inlineStr">
        <is>
          <t>Reported By</t>
        </is>
      </c>
      <c r="L1" s="6" t="inlineStr">
        <is>
          <t>Reported Date</t>
        </is>
      </c>
      <c r="M1" s="6" t="inlineStr">
        <is>
          <t>Assigned To</t>
        </is>
      </c>
      <c r="N1" s="6" t="inlineStr">
        <is>
          <t>Fix Notes</t>
        </is>
      </c>
      <c r="O1" s="6" t="inlineStr">
        <is>
          <t>Verified By</t>
        </is>
      </c>
      <c r="P1" s="6" t="inlineStr">
        <is>
          <t>Verified Date</t>
        </is>
      </c>
    </row>
    <row r="2" ht="40" customHeight="1">
      <c r="A2" s="5" t="inlineStr">
        <is>
          <t>DEF-001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</row>
    <row r="3" ht="40" customHeight="1">
      <c r="A3" s="19" t="inlineStr">
        <is>
          <t>DEF-002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</row>
    <row r="4" ht="40" customHeight="1">
      <c r="A4" s="5" t="inlineStr">
        <is>
          <t>DEF-003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 ht="40" customHeight="1">
      <c r="A5" s="19" t="inlineStr">
        <is>
          <t>DEF-004</t>
        </is>
      </c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</row>
    <row r="6" ht="40" customHeight="1">
      <c r="A6" s="5" t="inlineStr">
        <is>
          <t>DEF-005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 ht="40" customHeight="1">
      <c r="A7" s="19" t="inlineStr">
        <is>
          <t>DEF-006</t>
        </is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</row>
    <row r="8" ht="40" customHeight="1">
      <c r="A8" s="5" t="inlineStr">
        <is>
          <t>DEF-007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9" ht="40" customHeight="1">
      <c r="A9" s="19" t="inlineStr">
        <is>
          <t>DEF-008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</row>
    <row r="10" ht="40" customHeight="1">
      <c r="A10" s="5" t="inlineStr">
        <is>
          <t>DEF-009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</row>
    <row r="11" ht="40" customHeight="1">
      <c r="A11" s="19" t="inlineStr">
        <is>
          <t>DEF-010</t>
        </is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</row>
    <row r="12" ht="40" customHeight="1">
      <c r="A12" s="5" t="inlineStr">
        <is>
          <t>DEF-011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</row>
    <row r="13" ht="40" customHeight="1">
      <c r="A13" s="19" t="inlineStr">
        <is>
          <t>DEF-012</t>
        </is>
      </c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</row>
    <row r="14" ht="40" customHeight="1">
      <c r="A14" s="5" t="inlineStr">
        <is>
          <t>DEF-013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</row>
    <row r="15" ht="40" customHeight="1">
      <c r="A15" s="19" t="inlineStr">
        <is>
          <t>DEF-014</t>
        </is>
      </c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</row>
    <row r="16" ht="40" customHeight="1">
      <c r="A16" s="5" t="inlineStr">
        <is>
          <t>DEF-015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</row>
    <row r="17" ht="40" customHeight="1">
      <c r="A17" s="19" t="inlineStr">
        <is>
          <t>DEF-016</t>
        </is>
      </c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</row>
    <row r="18" ht="40" customHeight="1">
      <c r="A18" s="5" t="inlineStr">
        <is>
          <t>DEF-017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</row>
    <row r="19" ht="40" customHeight="1">
      <c r="A19" s="19" t="inlineStr">
        <is>
          <t>DEF-018</t>
        </is>
      </c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</row>
    <row r="20" ht="40" customHeight="1">
      <c r="A20" s="5" t="inlineStr">
        <is>
          <t>DEF-019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</row>
    <row r="21" ht="40" customHeight="1">
      <c r="A21" s="19" t="inlineStr">
        <is>
          <t>DEF-020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40" customHeight="1">
      <c r="A22" s="5" t="inlineStr">
        <is>
          <t>DEF-021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</row>
    <row r="23" ht="40" customHeight="1">
      <c r="A23" s="19" t="inlineStr">
        <is>
          <t>DEF-022</t>
        </is>
      </c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</row>
    <row r="24" ht="40" customHeight="1">
      <c r="A24" s="5" t="inlineStr">
        <is>
          <t>DEF-023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</row>
    <row r="25" ht="40" customHeight="1">
      <c r="A25" s="19" t="inlineStr">
        <is>
          <t>DEF-024</t>
        </is>
      </c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</row>
    <row r="26" ht="40" customHeight="1">
      <c r="A26" s="5" t="inlineStr">
        <is>
          <t>DEF-025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</row>
    <row r="27" ht="40" customHeight="1">
      <c r="A27" s="19" t="inlineStr">
        <is>
          <t>DEF-026</t>
        </is>
      </c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</row>
    <row r="28" ht="40" customHeight="1">
      <c r="A28" s="5" t="inlineStr">
        <is>
          <t>DEF-027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</row>
    <row r="29" ht="40" customHeight="1">
      <c r="A29" s="19" t="inlineStr">
        <is>
          <t>DEF-028</t>
        </is>
      </c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</row>
    <row r="30" ht="40" customHeight="1">
      <c r="A30" s="5" t="inlineStr">
        <is>
          <t>DEF-029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</row>
    <row r="31" ht="40" customHeight="1">
      <c r="A31" s="19" t="inlineStr">
        <is>
          <t>DEF-030</t>
        </is>
      </c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</row>
  </sheetData>
  <autoFilter ref="A1:P31"/>
  <conditionalFormatting sqref="F2:F31">
    <cfRule type="cellIs" priority="1" operator="equal" dxfId="1">
      <formula>"Open"</formula>
    </cfRule>
    <cfRule type="cellIs" priority="2" operator="equal" dxfId="2">
      <formula>"In Progress"</formula>
    </cfRule>
    <cfRule type="cellIs" priority="3" operator="equal" dxfId="2">
      <formula>"Fixed"</formula>
    </cfRule>
    <cfRule type="cellIs" priority="4" operator="equal" dxfId="0">
      <formula>"Verified"</formula>
    </cfRule>
    <cfRule type="cellIs" priority="5" operator="equal" dxfId="0">
      <formula>"Closed"</formula>
    </cfRule>
    <cfRule type="cellIs" priority="6" operator="equal" dxfId="1">
      <formula>"Re-Opened"</formula>
    </cfRule>
    <cfRule type="cellIs" priority="7" operator="equal" dxfId="3">
      <formula>"Wont Fix"</formula>
    </cfRule>
    <cfRule type="cellIs" priority="8" operator="equal" dxfId="3">
      <formula>"Accepted Workaround"</formula>
    </cfRule>
  </conditionalFormatting>
  <dataValidations count="2">
    <dataValidation sqref="E2:E31" showDropDown="0" showInputMessage="0" showErrorMessage="0" allowBlank="1" type="list">
      <formula1>"Critical,High,Medium,Low"</formula1>
    </dataValidation>
    <dataValidation sqref="F2:F31" showDropDown="0" showInputMessage="0" showErrorMessage="0" allowBlank="1" type="list">
      <formula1>"Open,In Progress,Fixed,Verified,Closed,Re-Opened,Wont Fix,Accepted Workaround"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3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14" customWidth="1" min="3" max="3"/>
    <col width="14" customWidth="1" min="4" max="4"/>
    <col width="14" customWidth="1" min="5" max="5"/>
    <col width="12" customWidth="1" min="6" max="6"/>
  </cols>
  <sheetData>
    <row r="2" ht="28" customHeight="1">
      <c r="B2" s="3" t="inlineStr">
        <is>
          <t>Test Execution Summary</t>
        </is>
      </c>
    </row>
    <row r="4">
      <c r="B4" s="17" t="inlineStr">
        <is>
          <t>Status</t>
        </is>
      </c>
      <c r="C4" s="17" t="inlineStr">
        <is>
          <t>Count</t>
        </is>
      </c>
      <c r="D4" s="17" t="inlineStr">
        <is>
          <t>% of Total</t>
        </is>
      </c>
    </row>
    <row r="5">
      <c r="B5" s="20" t="inlineStr">
        <is>
          <t>Not Run</t>
        </is>
      </c>
      <c r="C5" s="7">
        <f>COUNTIF('Test Cases'!K2:K147,"Not Run")</f>
        <v/>
      </c>
      <c r="D5" s="21">
        <f>IFERROR(C5/146,0)</f>
        <v/>
      </c>
    </row>
    <row r="6">
      <c r="B6" s="20" t="inlineStr">
        <is>
          <t>Pass</t>
        </is>
      </c>
      <c r="C6" s="7">
        <f>COUNTIF('Test Cases'!K2:K147,"Pass")</f>
        <v/>
      </c>
      <c r="D6" s="21">
        <f>IFERROR(C6/146,0)</f>
        <v/>
      </c>
    </row>
    <row r="7">
      <c r="B7" s="20" t="inlineStr">
        <is>
          <t>Fail</t>
        </is>
      </c>
      <c r="C7" s="7">
        <f>COUNTIF('Test Cases'!K2:K147,"Fail")</f>
        <v/>
      </c>
      <c r="D7" s="21">
        <f>IFERROR(C7/146,0)</f>
        <v/>
      </c>
    </row>
    <row r="8">
      <c r="B8" s="20" t="inlineStr">
        <is>
          <t>Blocked</t>
        </is>
      </c>
      <c r="C8" s="7">
        <f>COUNTIF('Test Cases'!K2:K147,"Blocked")</f>
        <v/>
      </c>
      <c r="D8" s="21">
        <f>IFERROR(C8/146,0)</f>
        <v/>
      </c>
    </row>
    <row r="9">
      <c r="B9" s="20" t="inlineStr">
        <is>
          <t>N/A</t>
        </is>
      </c>
      <c r="C9" s="7">
        <f>COUNTIF('Test Cases'!K2:K147,"N/A")</f>
        <v/>
      </c>
      <c r="D9" s="21">
        <f>IFERROR(C9/146,0)</f>
        <v/>
      </c>
    </row>
    <row r="10">
      <c r="B10" s="17" t="inlineStr">
        <is>
          <t>TOTAL</t>
        </is>
      </c>
      <c r="C10" s="17" t="n">
        <v>146</v>
      </c>
      <c r="D10" s="22" t="n">
        <v>1</v>
      </c>
    </row>
    <row r="13">
      <c r="B13" s="17" t="inlineStr">
        <is>
          <t>Priority</t>
        </is>
      </c>
      <c r="C13" s="17" t="inlineStr">
        <is>
          <t>Total</t>
        </is>
      </c>
      <c r="D13" s="17" t="inlineStr">
        <is>
          <t>Passed</t>
        </is>
      </c>
      <c r="E13" s="17" t="inlineStr">
        <is>
          <t>% Pass</t>
        </is>
      </c>
    </row>
    <row r="14">
      <c r="B14" s="12" t="inlineStr">
        <is>
          <t>Critical</t>
        </is>
      </c>
      <c r="C14" s="13">
        <f>COUNTIF('Test Cases'!D2:D147,"Critical")</f>
        <v/>
      </c>
      <c r="D14" s="13">
        <f>COUNTIFS('Test Cases'!D2:D147,"Critical",'Test Cases'!K2:K147,"Pass")</f>
        <v/>
      </c>
      <c r="E14" s="23">
        <f>IFERROR(D14/C14,0)</f>
        <v/>
      </c>
    </row>
    <row r="15">
      <c r="B15" s="12" t="inlineStr">
        <is>
          <t>High</t>
        </is>
      </c>
      <c r="C15" s="13">
        <f>COUNTIF('Test Cases'!D2:D147,"High")</f>
        <v/>
      </c>
      <c r="D15" s="13">
        <f>COUNTIFS('Test Cases'!D2:D147,"High",'Test Cases'!K2:K147,"Pass")</f>
        <v/>
      </c>
      <c r="E15" s="23">
        <f>IFERROR(D15/C15,0)</f>
        <v/>
      </c>
    </row>
    <row r="16">
      <c r="B16" s="12" t="inlineStr">
        <is>
          <t>Medium</t>
        </is>
      </c>
      <c r="C16" s="13">
        <f>COUNTIF('Test Cases'!D2:D147,"Medium")</f>
        <v/>
      </c>
      <c r="D16" s="13">
        <f>COUNTIFS('Test Cases'!D2:D147,"Medium",'Test Cases'!K2:K147,"Pass")</f>
        <v/>
      </c>
      <c r="E16" s="23">
        <f>IFERROR(D16/C16,0)</f>
        <v/>
      </c>
    </row>
    <row r="17">
      <c r="B17" s="12" t="inlineStr">
        <is>
          <t>Low</t>
        </is>
      </c>
      <c r="C17" s="13">
        <f>COUNTIF('Test Cases'!D2:D147,"Low")</f>
        <v/>
      </c>
      <c r="D17" s="13">
        <f>COUNTIFS('Test Cases'!D2:D147,"Low",'Test Cases'!K2:K147,"Pass")</f>
        <v/>
      </c>
      <c r="E17" s="23">
        <f>IFERROR(D17/C17,0)</f>
        <v/>
      </c>
    </row>
    <row r="21">
      <c r="B21" s="17" t="inlineStr">
        <is>
          <t>Defect Status</t>
        </is>
      </c>
      <c r="C21" s="17" t="inlineStr">
        <is>
          <t>Count</t>
        </is>
      </c>
    </row>
    <row r="22">
      <c r="B22" s="13" t="inlineStr">
        <is>
          <t>Open</t>
        </is>
      </c>
      <c r="C22" s="13">
        <f>COUNTIF('Defect Log'!F2:F31,"Open")</f>
        <v/>
      </c>
    </row>
    <row r="23">
      <c r="B23" s="13" t="inlineStr">
        <is>
          <t>In Progress</t>
        </is>
      </c>
      <c r="C23" s="13">
        <f>COUNTIF('Defect Log'!F2:F31,"In Progress")</f>
        <v/>
      </c>
    </row>
    <row r="24">
      <c r="B24" s="13" t="inlineStr">
        <is>
          <t>Fixed</t>
        </is>
      </c>
      <c r="C24" s="13">
        <f>COUNTIF('Defect Log'!F2:F31,"Fixed")</f>
        <v/>
      </c>
    </row>
    <row r="25">
      <c r="B25" s="13" t="inlineStr">
        <is>
          <t>Verified</t>
        </is>
      </c>
      <c r="C25" s="13">
        <f>COUNTIF('Defect Log'!F2:F31,"Verified")</f>
        <v/>
      </c>
    </row>
    <row r="26">
      <c r="B26" s="13" t="inlineStr">
        <is>
          <t>Closed</t>
        </is>
      </c>
      <c r="C26" s="13">
        <f>COUNTIF('Defect Log'!F2:F31,"Closed")</f>
        <v/>
      </c>
    </row>
    <row r="27">
      <c r="B27" s="13" t="inlineStr">
        <is>
          <t>Re-Opened</t>
        </is>
      </c>
      <c r="C27" s="13">
        <f>COUNTIF('Defect Log'!F2:F31,"Re-Opened")</f>
        <v/>
      </c>
    </row>
    <row r="28">
      <c r="B28" s="13" t="inlineStr">
        <is>
          <t>Wont Fix</t>
        </is>
      </c>
      <c r="C28" s="13">
        <f>COUNTIF('Defect Log'!F2:F31,"Wont Fix")</f>
        <v/>
      </c>
    </row>
    <row r="29">
      <c r="B29" s="13" t="inlineStr">
        <is>
          <t>Accepted Workaround</t>
        </is>
      </c>
      <c r="C29" s="13">
        <f>COUNTIF('Defect Log'!F2:F31,"Accepted Workaround")</f>
        <v/>
      </c>
    </row>
    <row r="32">
      <c r="B32" s="10" t="inlineStr">
        <is>
          <t>Sign-Off Readiness</t>
        </is>
      </c>
    </row>
    <row r="33">
      <c r="B33" s="20" t="inlineStr">
        <is>
          <t>Critical tests passing (must be 100%)</t>
        </is>
      </c>
      <c r="C33" s="13" t="n"/>
      <c r="D33" s="13" t="n"/>
      <c r="E33" s="23">
        <f>IFERROR(COUNTIFS('Test Cases'!D2:D147,"Critical",'Test Cases'!K2:K147,"Pass")/COUNTIF('Test Cases'!D2:D147,"Critical"),0)</f>
        <v/>
      </c>
    </row>
    <row r="34">
      <c r="B34" s="20" t="inlineStr">
        <is>
          <t>High tests passing (must be ≥ 95%)</t>
        </is>
      </c>
      <c r="C34" s="13" t="n"/>
      <c r="D34" s="13" t="n"/>
      <c r="E34" s="23">
        <f>IFERROR(COUNTIFS('Test Cases'!D2:D147,"High",'Test Cases'!K2:K147,"Pass")/COUNTIF('Test Cases'!D2:D147,"High"),0)</f>
        <v/>
      </c>
    </row>
    <row r="35">
      <c r="B35" s="20" t="inlineStr">
        <is>
          <t>Open Critical/High defects (must be 0)</t>
        </is>
      </c>
      <c r="C35" s="13" t="n"/>
      <c r="D35" s="13" t="n"/>
      <c r="E35" s="24">
        <f>COUNTIFS('Defect Log'!E2:E31,"Critical",'Defect Log'!F2:F31,"Open")+COUNTIFS('Defect Log'!E2:E31,"High",'Defect Log'!F2:F31,"Open")</f>
        <v/>
      </c>
    </row>
  </sheetData>
  <mergeCells count="5">
    <mergeCell ref="B33:D33"/>
    <mergeCell ref="B2:F2"/>
    <mergeCell ref="B35:D35"/>
    <mergeCell ref="B34:D34"/>
    <mergeCell ref="B32:E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2026-06-02T22:01:13Z</dcterms:created>
  <dcterms:modified xmlns:dcterms="http://purl.org/dc/terms/" xmlns:xsi="http://www.w3.org/2001/XMLSchema-instance" xsi:type="dcterms:W3CDTF">2026-06-02T22:01:13Z</dcterms:modified>
</cp:coreProperties>
</file>